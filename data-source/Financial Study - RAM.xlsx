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BR Comps" sheetId="1" r:id="rId5"/>
    <sheet state="hidden" name="2BR Comps" sheetId="2" r:id="rId6"/>
    <sheet state="visible" name="LTR Financial Study" sheetId="3" r:id="rId7"/>
    <sheet state="hidden" name="2BR" sheetId="4" r:id="rId8"/>
    <sheet state="visible" name="LTR Study Summary" sheetId="5" r:id="rId9"/>
    <sheet state="hidden" name="STR Study Worksheet" sheetId="6" r:id="rId10"/>
  </sheets>
  <definedNames/>
  <calcPr/>
</workbook>
</file>

<file path=xl/sharedStrings.xml><?xml version="1.0" encoding="utf-8"?>
<sst xmlns="http://schemas.openxmlformats.org/spreadsheetml/2006/main" count="223" uniqueCount="106">
  <si>
    <t>STR</t>
  </si>
  <si>
    <t>After OTA</t>
  </si>
  <si>
    <r>
      <rPr>
        <color rgb="FF1155CC"/>
        <u/>
      </rPr>
      <t>Rozn Co|2BR Stylish &amp; Cozy Apt Self Entry - Apartments for Rent in Jeddah, Makkah Province, Saudi Arabia - Airbnb</t>
    </r>
  </si>
  <si>
    <r>
      <rPr>
        <color rgb="FF1155CC"/>
        <u/>
      </rPr>
      <t>Cinematic Suite | Prime Location | Self Check-in - Apartments for Rent in Jeddah, Makkah Province, Saudi Arabia - Airbnb</t>
    </r>
  </si>
  <si>
    <t>LTR Furnished</t>
  </si>
  <si>
    <t>LTR Unfurnished</t>
  </si>
  <si>
    <t>https://sa.aqar.fm/%D8%B4%D9%82%D9%82-%D9%84%D9%84%D8%A5%D9%8A%D8%AC%D8%A7%D8%B1/%D8%AC%D8%AF%D8%A9/%D8%B4%D9%85%D8%A7%D9%84-%D8%AC%D8%AF%D8%A9/%D8%AD%D9%8A-%D8%A7%D9%84%D9%86%D8%B2%D9%87%D8%A9/%D8%B4%D8%A7%D8%B1%D8%B9-%D8%B8%D9%8A%D8%A8%D8%A7%D9%86-%D8%A8%D9%86-%D8%B9%D9%85%D8%A7%D8%B1%D9%87-%D8%AD%D9%8A-%D8%A7%D9%84%D9%86%D8%B2%D9%87%D8%A9-%D8%AC%D8%AF%D8%A9-%D8%AC%D8%AF%D8%A9-6818284</t>
  </si>
  <si>
    <t>Best Case</t>
  </si>
  <si>
    <t>Base Case</t>
  </si>
  <si>
    <t>Worst Case</t>
  </si>
  <si>
    <t>Type</t>
  </si>
  <si>
    <t>Unit</t>
  </si>
  <si>
    <t>https://sa.aqar.fm/%D8%B4%D9%82%D9%82-%D9%84%D9%84%D8%A5%D9%8A%D8%AC%D8%A7%D8%B1/%D8%AC%D8%AF%D8%A9/%D8%B4%D9%85%D8%A7%D9%84-%D8%AC%D8%AF%D8%A9/%D8%AD%D9%8A-%D8%A7%D9%84%D9%86%D8%B2%D9%87%D8%A9/%D8%B4%D8%A7%D8%B1%D8%B9-%D8%B7%D8%B1%D9%8A%D9%82-%D8%A7%D9%84%D9%85%D9%84%D9%83-%D9%81%D9%87%D8%AF-%D9%81%D8%B1%D8%B9%D9%8A-%D8%AD%D9%8A-%D8%A7%D9%84%D9%86%D8%B2%D9%87%D8%A9-%D9%85%D8%AF%D9%8A%D9%86%D8%A9-%D8%AC%D8%AF%D8%A9-%D9%85%D9%86%D8%B7%D9%82%D8%A9-%D9%85%D9%83%D8%A9-%D8%A7%D9%84%D9%85%D9%83%D8%B1%D9%85%D8%A9-6710325</t>
  </si>
  <si>
    <r>
      <rPr>
        <color rgb="FF1155CC"/>
        <u/>
      </rPr>
      <t>Two rooms and a spacious hall in Al-Nahda - Apartments for Rent in Jeddah, Makkah Province, Saudi Arabia - Airbnb</t>
    </r>
  </si>
  <si>
    <r>
      <rPr>
        <color rgb="FF1155CC"/>
        <u/>
      </rPr>
      <t>Modern 1-Bed Apartment, Al Nahda, 75" TV - Apartments for Rent in Jeddah, Makkah Province, Saudi Arabia - Airbnb</t>
    </r>
  </si>
  <si>
    <t>https://sa.aqar.fm/%D8%B4%D9%82%D9%82-%D9%84%D9%84%D8%A5%D9%8A%D8%AC%D8%A7%D8%B1/%D8%AC%D8%AF%D8%A9/%D8%B4%D9%85%D8%A7%D9%84-%D8%AC%D8%AF%D8%A9/%D8%AD%D9%8A-%D8%A7%D9%84%D9%86%D8%B2%D9%87%D8%A9/%D8%B4%D8%A7%D8%B1%D8%B9-%D8%B9%D8%AA%D9%8A%D8%A8%D9%87-%D8%A7%D9%84%D8%A8%D9%84%D9%88%D9%8A-%D8%AD%D9%8A-%D8%A7%D9%84%D9%86%D8%B2%D9%87%D8%A9-%D9%85%D8%AF%D9%8A%D9%86%D8%A9-%D8%AC%D8%AF%D8%A9-%D9%85%D9%86%D8%B7%D9%82%D8%A9-%D9%85%D9%83%D8%A9-%D8%A7%D9%84%D9%85%D9%83%D8%B1%D9%85%D8%A9-6668237</t>
  </si>
  <si>
    <r>
      <rPr>
        <color rgb="FF1155CC"/>
        <u/>
      </rPr>
      <t>Apartment in Al Nahdah. A4 - Apartments for Rent in Jeddah, Makkah Province, Saudi Arabia - Airbnb</t>
    </r>
  </si>
  <si>
    <t>1Bd</t>
  </si>
  <si>
    <r>
      <rPr>
        <color rgb="FF1155CC"/>
        <u/>
      </rPr>
      <t>MONARCC (The epitome of luxury and sophistication) Suite 1 - Houses for Rent in Jeddah, Makkah Province, Saudi Arabia - Airbnb</t>
    </r>
  </si>
  <si>
    <r>
      <rPr>
        <color rgb="FF1155CC"/>
        <u/>
      </rPr>
      <t>KM Living | Green Crest Studio King Abdulaziz Road - Apartments for Rent in Jeddah, Makkah Province, Saudi Arabia - Airbnb</t>
    </r>
  </si>
  <si>
    <r>
      <rPr>
        <color rgb="FF1155CC"/>
        <u/>
      </rPr>
      <t>شقة للإيجار في شارع فرائد الضبطيه, حي النزهة, مدينة جدة, منطقة مكة المكرمة | تطبيق عقار</t>
    </r>
  </si>
  <si>
    <r>
      <rPr>
        <color rgb="FF1155CC"/>
        <u/>
      </rPr>
      <t>Luxury hotel-style one-bedroom apartment with a living room - King Road H1 - Apartments for Rent in Jeddah, Makkah Province, Saudi Arabia - Airbnb</t>
    </r>
  </si>
  <si>
    <r>
      <rPr>
        <color rgb="FF1155CC"/>
        <u/>
      </rPr>
      <t>Km living | Modern 2BR Apt King Abdulaziz Rd - Apartments for Rent in Jeddah, Makkah Province, Saudi Arabia - Airbnb</t>
    </r>
  </si>
  <si>
    <r>
      <rPr>
        <color rgb="FF1155CC"/>
        <u/>
      </rPr>
      <t>Modern Cinema Suite | Giant Screen | Self Check-In - Apartments for Rent in Jeddah, Makkah Province, Saudi Arabia - Airbnb</t>
    </r>
  </si>
  <si>
    <r>
      <rPr>
        <color rgb="FF1155CC"/>
        <u/>
      </rPr>
      <t>شقة للإيجار في شارع البشام, حي النزهة, مدينة جدة, منطقة مكة المكرمة | تطبيق عقار</t>
    </r>
  </si>
  <si>
    <r>
      <rPr>
        <color rgb="FF1155CC"/>
        <u/>
      </rPr>
      <t>Luxury Stay | 2 Bedrooms and a Living Room | 75” TV | Al-Nahda | - Apartments for Rent in Jeddah, Makkah Province, Saudi Arabia - Airbnb</t>
    </r>
  </si>
  <si>
    <r>
      <rPr>
        <color rgb="FF1155CC"/>
        <u/>
      </rPr>
      <t>Luxury hotel-style one-bedroom apartment with a living room - King Road H1 - Apartments for Rent in Jeddah, Makkah Province, Saudi Arabia - Airbnb</t>
    </r>
  </si>
  <si>
    <r>
      <rPr>
        <color rgb="FF1155CC"/>
        <u/>
      </rPr>
      <t>King Road - Luxury Suite - Apartments for Rent in Jeddah, Makkah Province, Saudi Arabia - Airbnb</t>
    </r>
  </si>
  <si>
    <t>2Bd</t>
  </si>
  <si>
    <r>
      <rPr>
        <color rgb="FF1155CC"/>
        <u/>
      </rPr>
      <t>D2101 Two-Bedroom Apartment in Al-Nahda Neighborhood - Apartments for Rent in Jeddah, Makkah Province, Saudi Arabia - Airbnb</t>
    </r>
  </si>
  <si>
    <t>https://sa.aqar.fm/%D8%B4%D9%82%D9%82-%D9%84%D9%84%D8%A5%D9%8A%D8%AC%D8%A7%D8%B1/%D8%AC%D8%AF%D8%A9/%D8%B4%D9%85%D8%A7%D9%84-%D8%AC%D8%AF%D8%A9/%D8%AD%D9%8A-%D8%A7%D9%84%D9%86%D8%B2%D9%87%D8%A9/%D8%B4%D8%A7%D8%B1%D8%B9-%D8%B8%D9%8A%D8%A8%D8%A7%D9%86-%D8%A8%D9%86-%D8%B9%D9%85%D8%A7%D8%B1%D9%87-%D8%AD%D9%8A-%D8%A7%D9%84%D9%86%D8%B2%D9%87%D8%A9-%D8%AC%D8%AF%D8%A9-%D8%AC%D8%AF%D8%A9-6616554</t>
  </si>
  <si>
    <r>
      <rPr>
        <color rgb="FF1155CC"/>
        <u/>
      </rPr>
      <t>Apartment in Al Nahdah. A1 - Apartments for Rent in Jeddah, Makkah Province, Saudi Arabia - Airbnb</t>
    </r>
  </si>
  <si>
    <r>
      <rPr>
        <color rgb="FF1155CC"/>
        <u/>
      </rPr>
      <t>Luxury Apartment in Al-Nozha District - Near the Airport - Apartments for Rent in Jeddah, Makkah Province, Saudi Arabia - Airbnb</t>
    </r>
  </si>
  <si>
    <t>https://sa.aqar.fm/%D8%B4%D9%82%D9%82-%D9%84%D9%84%D8%A5%D9%8A%D8%AC%D8%A7%D8%B1/%D8%AC%D8%AF%D8%A9/%D8%B4%D9%85%D8%A7%D9%84-%D8%AC%D8%AF%D8%A9/%D8%AD%D9%8A-%D8%A7%D9%84%D9%86%D8%B2%D9%87%D8%A9/%D8%B4%D8%A7%D8%B1%D8%B9-%D9%86%D9%81%D9%88%D8%B2-%D9%82%D9%86%D9%81%D9%8A%D8%B0%D9%87-%D8%AD%D9%8A-%D8%A7%D9%84%D9%86%D8%B2%D9%87%D8%A9-%D9%85%D8%AF%D9%8A%D9%86%D8%A9-%D8%AC%D8%AF%D8%A9-%D9%85%D9%86%D8%B7%D9%82%D8%A9-%D9%85%D9%83%D8%A9-%D8%A7%D9%84%D9%85%D9%83%D8%B1%D9%85%D8%A9-6784169</t>
  </si>
  <si>
    <r>
      <rPr>
        <color rgb="FF1155CC"/>
        <u/>
      </rPr>
      <t>Rozn Co|Stylish &amp; Cozy 1BR 75" TV Self-Access - Apartments for Rent in Jeddah, Makkah Province, Saudi Arabia - Airbnb</t>
    </r>
  </si>
  <si>
    <t>Total</t>
  </si>
  <si>
    <r>
      <rPr>
        <color rgb="FF1155CC"/>
        <u/>
      </rPr>
      <t>Comfortable 2BR Apartment | behind King Road - Apartments for Rent in Jeddah, Makkah Province, Saudi Arabia - Airbnb</t>
    </r>
  </si>
  <si>
    <r>
      <rPr>
        <color rgb="FF1155CC"/>
        <u/>
      </rPr>
      <t>Apartment 02 | Modern Cozy 85 Screen Near the Waterfront - Apartments for Rent in Jeddah, Makkah Province, Saudi Arabia - Airbnb</t>
    </r>
  </si>
  <si>
    <t>https://sa.aqar.fm/%D8%B4%D9%82%D9%82-%D9%84%D9%84%D8%A5%D9%8A%D8%AC%D8%A7%D8%B1/%D8%AC%D8%AF%D8%A9/%D8%B4%D9%85%D8%A7%D9%84-%D8%AC%D8%AF%D8%A9/%D8%AD%D9%8A-%D8%A7%D9%84%D9%86%D8%B2%D9%87%D8%A9/%D8%B4%D8%A7%D8%B1%D8%B9-%D8%B7%D8%B1%D9%8A%D9%82-%D8%A7%D9%84%D9%85%D9%84%D9%83-%D9%81%D9%87%D8%AF-%D9%81%D8%B1%D8%B9%D9%8A-%D8%AD%D9%8A-%D8%A7%D9%84%D9%86%D8%B2%D9%87%D8%A9-%D9%85%D8%AF%D9%8A%D9%86%D8%A9-%D8%AC%D8%AF%D8%A9-%D9%85%D9%86%D8%B7%D9%82%D8%A9-%D9%85%D9%83%D8%A9-%D8%A7%D9%84%D9%85%D9%83%D8%B1%D9%85%D8%A9-6714958</t>
  </si>
  <si>
    <r>
      <rPr>
        <color rgb="FF1155CC"/>
        <u/>
      </rPr>
      <t>Modern 1-Bed Apartment, Al Nahda, 75" TV - Apartments for Rent in Jeddah, Makkah Province, Saudi Arabia - Airbnb</t>
    </r>
  </si>
  <si>
    <r>
      <rPr>
        <color rgb="FF1155CC"/>
        <u/>
      </rPr>
      <t>Cinematic Suite | Prime Location | Self Check-in - Apartments for Rent in Jeddah, Makkah Province, Saudi Arabia - Airbnb</t>
    </r>
  </si>
  <si>
    <r>
      <rPr>
        <color rgb="FF1155CC"/>
        <u/>
      </rPr>
      <t>Sara Residence | Elegant Modern 2BR | 75” TV - Apartments for Rent in Jeddah, Makkah Province, Saudi Arabia - Airbnb</t>
    </r>
  </si>
  <si>
    <t>Post - Cleaning fees</t>
  </si>
  <si>
    <t>Annual Projection</t>
  </si>
  <si>
    <t>Average</t>
  </si>
  <si>
    <r>
      <rPr>
        <color rgb="FF1155CC"/>
        <u/>
      </rPr>
      <t>شقة للإيجار في شارع العام, حي النزهة, مدينة جدة, منطقة مكة المكرمة | تطبيق عقار</t>
    </r>
  </si>
  <si>
    <r>
      <rPr>
        <color rgb="FF1155CC"/>
        <u/>
      </rPr>
      <t>Comfortable 2BR Apartment on King Abdulaziz Road - Apartments for Rent in Jeddah, Makkah Province, Saudi Arabia - Airbnb</t>
    </r>
  </si>
  <si>
    <r>
      <rPr>
        <color rgb="FF1155CC"/>
        <u/>
      </rPr>
      <t>Julia House | Julia House Jeddah - Apartments for Rent in Jeddah, Makkah Province, Saudi Arabia - Airbnb</t>
    </r>
  </si>
  <si>
    <r>
      <rPr>
        <color rgb="FF1155CC"/>
        <u/>
      </rPr>
      <t>شقة للإيجار في شارع سعيد البختري, حي النزهة, مدينة جدة, منطقة مكة المكرمة | تطبيق عقار</t>
    </r>
  </si>
  <si>
    <t>Lowest</t>
  </si>
  <si>
    <r>
      <rPr>
        <color rgb="FF1155CC"/>
        <u/>
      </rPr>
      <t>Luxury apartment in Al-Nahda neighborhood with two bedrooms + an elegant living room. - Serviced apartments for Rent in Jeddah, Makkah Province, Saudi Arabia - Airbnb</t>
    </r>
  </si>
  <si>
    <t>Highest</t>
  </si>
  <si>
    <r>
      <rPr>
        <color rgb="FF1155CC"/>
        <u/>
      </rPr>
      <t>شقة للإيجار في شارع العام, حي النزهة, مدينة جدة, منطقة مكة المكرمة | تطبيق عقار</t>
    </r>
  </si>
  <si>
    <r>
      <rPr>
        <color rgb="FF1155CC"/>
        <u/>
      </rPr>
      <t>Apartment with a home theater - King Abdulaziz Road - Apartments for Rent in Jeddah, مكة المكرمة, Saudi Arabia - Airbnb</t>
    </r>
  </si>
  <si>
    <t>https://sa.aqar.fm/%D8%B4%D9%82%D9%82-%D9%84%D9%84%D8%A5%D9%8A%D8%AC%D8%A7%D8%B1/%D8%AC%D8%AF%D8%A9/%D8%B4%D9%85%D8%A7%D9%84-%D8%AC%D8%AF%D8%A9/%D8%AD%D9%8A-%D8%A7%D9%84%D9%86%D8%B2%D9%87%D8%A9/%D8%B4%D8%A7%D8%B1%D8%B9-%D9%85%D8%AD%D9%85%D8%AF-%D8%B3%D8%B9%D9%8A%D8%AF-%D9%86%D8%A7%D8%B5%D9%8A%D9%81-%D9%81%D8%B1%D8%B9%D9%8A-%D8%AD%D9%8A-%D8%A7%D9%84%D9%86%D8%B2%D9%87%D8%A9-%D9%85%D8%AF%D9%8A%D9%86%D8%A9-%D8%AC%D8%AF%D8%A9-%D9%85%D9%86%D8%B7%D9%82%D8%A9-%D9%85%D9%83%D8%A9-%D8%A7%D9%84%D9%85%D9%83%D8%B1%D9%85%D8%A9-6718582</t>
  </si>
  <si>
    <r>
      <rPr>
        <color rgb="FF1155CC"/>
        <u/>
      </rPr>
      <t>2BR| 98"smart tv Elegant Apartment - Full kitchen - Apartments for Rent in Jeddah, Makkah Province, Saudi Arabia - Airbnb</t>
    </r>
  </si>
  <si>
    <r>
      <rPr>
        <color rgb="FF1155CC"/>
        <u/>
      </rPr>
      <t>شقة للإيجار في حي النزهة, مدينة جدة - 88061690 | بيوت السعودية</t>
    </r>
  </si>
  <si>
    <r>
      <rPr>
        <color rgb="FF1155CC"/>
        <u/>
      </rPr>
      <t>Quiet Classic Suite – 1 Bedroom and Smart Entrance Hall - Apartments for Rent in Jeddah, Makkah Province, Saudi Arabia - Airbnb</t>
    </r>
  </si>
  <si>
    <t>https://sa.aqar.fm/%D8%B4%D9%82%D9%82-%D9%84%D9%84%D8%A5%D9%8A%D8%AC%D8%A7%D8%B1/%D8%AC%D8%AF%D8%A9/%D8%B4%D9%85%D8%A7%D9%84-%D8%AC%D8%AF%D8%A9/%D8%AD%D9%8A-%D8%A7%D9%84%D9%86%D8%B2%D9%87%D8%A9/%D8%B4%D8%A7%D8%B1%D8%B9-%D8%A7%D9%84%D8%AE%D9%85%D8%A7%D8%B3%D9%8A%D9%87-%D8%AD%D9%8A-%D8%A7%D9%84%D9%86%D8%B2%D9%87%D8%A9-%D9%85%D8%AF%D9%8A%D9%86%D8%A9-%D8%AC%D8%AF%D8%A9-%D9%85%D9%86%D8%B7%D9%82%D8%A9-%D9%85%D9%83%D8%A9-%D8%A7%D9%84%D9%85%D9%83%D8%B1%D9%85%D8%A9-6721049</t>
  </si>
  <si>
    <r>
      <rPr>
        <color rgb="FF1155CC"/>
        <u/>
      </rPr>
      <t>Elegant 2BR Stay –85”TV-Prime Location - Apartments for Rent in Jeddah, Makkah Province, Saudi Arabia - Airbnb</t>
    </r>
  </si>
  <si>
    <r>
      <rPr>
        <color rgb="FF1155CC"/>
        <u/>
      </rPr>
      <t>شقة للإيجار في حي النزهة, مدينة جدة - 88061690 | بيوت السعودية</t>
    </r>
  </si>
  <si>
    <r>
      <rPr>
        <color rgb="FF1155CC"/>
        <u/>
      </rPr>
      <t>شقة للإيجار في شارع القريبانيات, حي النزهة, مدينة جدة, منطقة مكة المكرمة | تطبيق عقار</t>
    </r>
  </si>
  <si>
    <r>
      <rPr>
        <color rgb="FF1155CC"/>
        <u/>
      </rPr>
      <t>Luxury 2BR w/ 85 TV &amp; Self Check-In” - Houses for Rent in Jeddah, Makkah Province, Saudi Arabia - Airbnb</t>
    </r>
  </si>
  <si>
    <r>
      <rPr>
        <color rgb="FF1155CC"/>
        <u/>
      </rPr>
      <t>شقة للايجار في حي النزهة , جدة - 88040941 | بيوت السعودية</t>
    </r>
  </si>
  <si>
    <r>
      <rPr>
        <color rgb="FF1155CC"/>
        <u/>
      </rPr>
      <t>Boutique 2BR Suite | Self Check-In |Prime Location - Apartments for Rent in Jeddah, Makkah Province, Saudi Arabia - Airbnb</t>
    </r>
  </si>
  <si>
    <r>
      <rPr>
        <color rgb="FF1155CC"/>
        <u/>
      </rPr>
      <t>شقة للإيجار في شارع الفضل اللهبي, حي النزهة, مدينة جدة, منطقة مكة المكرمة | تطبيق عقار</t>
    </r>
  </si>
  <si>
    <r>
      <rPr>
        <color rgb="FF1155CC"/>
        <u/>
      </rPr>
      <t>شقة فاخرة للإيجار - 87836990 | بيوت السعودية</t>
    </r>
  </si>
  <si>
    <r>
      <rPr>
        <color rgb="FF1155CC"/>
        <u/>
      </rPr>
      <t>Luxury 2 bedroom apartment 2R3B in Al-Nahda neighborhood - King Road - Apartments for Rent in Jeddah, Makkah Province, Saudi Arabia - Airbnb</t>
    </r>
  </si>
  <si>
    <t>Al Nuzha</t>
  </si>
  <si>
    <r>
      <rPr>
        <color rgb="FF1155CC"/>
        <u/>
      </rPr>
      <t>شقة للإيجار في شارع الخماسيه, حي النزهة, مدينة جدة, منطقة مكة المكرمة | تطبيق عقار</t>
    </r>
  </si>
  <si>
    <r>
      <rPr>
        <color rgb="FF1155CC"/>
        <u/>
      </rPr>
      <t>شقة للإيجار في شارع الخماسيه, حي النزهة, مدينة جدة, منطقة مكة المكرمة | تطبيق عقار</t>
    </r>
  </si>
  <si>
    <r>
      <rPr>
        <color rgb="FF1155CC"/>
        <u/>
      </rPr>
      <t>Km living | 2BR King Abdulaziz-Luxury Stay - Apartments for Rent in Jeddah, Makkah Province, Saudi Arabia - Airbnb</t>
    </r>
  </si>
  <si>
    <r>
      <rPr>
        <color rgb="FF1155CC"/>
        <u/>
      </rPr>
      <t>King Road | Two Luxury Rooms | Self Check-in | Private Parking - Apartments for Rent in Jeddah, Makkah Province, Saudi Arabia - Airbnb</t>
    </r>
  </si>
  <si>
    <r>
      <rPr>
        <color rgb="FF1155CC"/>
        <u/>
      </rPr>
      <t>شقة للإيجار في شارع الخماسيه, حي النزهة, مدينة جدة, منطقة مكة المكرمة | تطبيق عقار</t>
    </r>
  </si>
  <si>
    <t>Financial Study - Arqa</t>
  </si>
  <si>
    <t>Scenarios</t>
  </si>
  <si>
    <r>
      <rPr>
        <color rgb="FF1155CC"/>
        <u/>
      </rPr>
      <t>The Aura Loft - Lofts for Rent in Jeddah, Makkah Province, Saudi Arabia - Airbnb</t>
    </r>
  </si>
  <si>
    <r>
      <rPr>
        <color rgb="FF1155CC"/>
        <u/>
      </rPr>
      <t>شقة للإيجار في شارع الخماسيه, حي النزهة, مدينة جدة, منطقة مكة المكرمة | تطبيق عقار</t>
    </r>
  </si>
  <si>
    <t>Revenue at 100% occupancy</t>
  </si>
  <si>
    <r>
      <rPr>
        <color rgb="FF1155CC"/>
        <u/>
      </rPr>
      <t>KM Living | Green Crest 2BR + Maid | King Road - Apartments for Rent in Jeddah, Makkah Province, Saudi Arabia - Airbnb</t>
    </r>
  </si>
  <si>
    <t>Varying occupancy scenario</t>
  </si>
  <si>
    <r>
      <rPr>
        <color rgb="FF1155CC"/>
        <u/>
      </rPr>
      <t>شقة للإيجار في شارع احمد الرقيمي, حي النزهة, مدينة جدة, منطقة مكة المكرمة | تطبيق عقار</t>
    </r>
  </si>
  <si>
    <t>Cleaning</t>
  </si>
  <si>
    <t>Revenue pre deductions</t>
  </si>
  <si>
    <t>After Deducting VAT</t>
  </si>
  <si>
    <r>
      <rPr>
        <color rgb="FF1155CC"/>
        <u/>
      </rPr>
      <t>شقة للإيجار في شارع سعيد البختري, حي النزهة, مدينة جدة, منطقة مكة المكرمة | تطبيق عقار</t>
    </r>
  </si>
  <si>
    <t>After Deducting OTA</t>
  </si>
  <si>
    <t>Net revenue after deducting Madinum share</t>
  </si>
  <si>
    <r>
      <rPr>
        <color rgb="FF1155CC"/>
        <u/>
      </rPr>
      <t>شقة للايجار في حي النزهة , جدة - 88036038 | بيوت السعودية</t>
    </r>
  </si>
  <si>
    <r>
      <rPr>
        <color rgb="FF1155CC"/>
        <u/>
      </rPr>
      <t>شقة للايجار في النزهة، شمال جدة - 88088856 | بيوت السعودية</t>
    </r>
  </si>
  <si>
    <t xml:space="preserve">Monthly Revenue per unit </t>
  </si>
  <si>
    <r>
      <rPr>
        <color rgb="FF1155CC"/>
        <u/>
      </rPr>
      <t>شقة مؤثثة للإيجار الشهري و السنوي في جدة حي النزهة - 87932446 | بيوت السعودية</t>
    </r>
  </si>
  <si>
    <t xml:space="preserve">Annual Revenue per unit </t>
  </si>
  <si>
    <r>
      <rPr>
        <color rgb="FF1155CC"/>
        <u/>
      </rPr>
      <t>شقة مفروشة للإيجار الشهري في النزهة، شمال جدة - 87837533 | بيوت السعودية</t>
    </r>
  </si>
  <si>
    <t>Daily</t>
  </si>
  <si>
    <t>STR Multiplier</t>
  </si>
  <si>
    <t>Target Occupancy</t>
  </si>
  <si>
    <t>OTA Added</t>
  </si>
  <si>
    <t>No. of units</t>
  </si>
  <si>
    <t>Studio</t>
  </si>
  <si>
    <t>Financial Study - Al Nuzhah</t>
  </si>
  <si>
    <t>Net revenue before deducting Mathwaa share</t>
  </si>
  <si>
    <t>Done</t>
  </si>
  <si>
    <t>Dashboard Verification Status</t>
  </si>
  <si>
    <t>Net revenue after deducting Mathwaa share
20%</t>
  </si>
  <si>
    <t>Net revenue after deducting Mathwaa share
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</si>
</sst>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SAR]#,##0"/>
  </numFmts>
  <fonts count="1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u/>
      <color rgb="FF0000FF"/>
    </font>
    <font>
      <b/>
      <color theme="1"/>
      <name val="Arial"/>
    </font>
    <font>
      <u/>
      <color rgb="FF0000FF"/>
    </font>
    <font>
      <color rgb="FFFFFFFF"/>
      <name val="Roboto"/>
    </font>
    <font>
      <color theme="1"/>
      <name val="Roboto"/>
    </font>
    <font>
      <b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</border>
    <border>
      <right style="thin">
        <color rgb="FF442F65"/>
      </right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442F65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3" fontId="3" numFmtId="0" xfId="0" applyAlignment="1" applyFill="1" applyFont="1">
      <alignment horizontal="center"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1" fillId="2" fontId="5" numFmtId="0" xfId="0" applyAlignment="1" applyBorder="1" applyFont="1">
      <alignment horizontal="center" readingOrder="0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/>
    </xf>
    <xf borderId="1" fillId="0" fontId="7" numFmtId="0" xfId="0" applyAlignment="1" applyBorder="1" applyFont="1">
      <alignment horizontal="center" readingOrder="0" vertical="bottom"/>
    </xf>
    <xf borderId="0" fillId="0" fontId="3" numFmtId="1" xfId="0" applyAlignment="1" applyFont="1" applyNumberFormat="1">
      <alignment horizontal="center"/>
    </xf>
    <xf borderId="1" fillId="0" fontId="7" numFmtId="3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readingOrder="0"/>
    </xf>
    <xf borderId="1" fillId="0" fontId="7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8" numFmtId="0" xfId="0" applyAlignment="1" applyFont="1">
      <alignment readingOrder="0"/>
    </xf>
    <xf borderId="0" fillId="0" fontId="2" numFmtId="3" xfId="0" applyAlignment="1" applyFont="1" applyNumberFormat="1">
      <alignment horizontal="center" vertical="bottom"/>
    </xf>
    <xf borderId="0" fillId="3" fontId="7" numFmtId="0" xfId="0" applyAlignment="1" applyFont="1">
      <alignment horizontal="right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2" fontId="2" numFmtId="0" xfId="0" applyAlignment="1" applyFont="1">
      <alignment vertical="bottom"/>
    </xf>
    <xf borderId="0" fillId="2" fontId="9" numFmtId="0" xfId="0" applyAlignment="1" applyFont="1">
      <alignment readingOrder="0" shrinkToFit="0" wrapText="0"/>
    </xf>
    <xf borderId="0" fillId="0" fontId="4" numFmtId="1" xfId="0" applyFont="1" applyNumberFormat="1"/>
    <xf borderId="0" fillId="4" fontId="9" numFmtId="0" xfId="0" applyAlignment="1" applyFill="1" applyFont="1">
      <alignment readingOrder="0" shrinkToFit="0" wrapText="0"/>
    </xf>
    <xf borderId="0" fillId="4" fontId="5" numFmtId="0" xfId="0" applyAlignment="1" applyFont="1">
      <alignment horizontal="center" readingOrder="0" vertical="bottom"/>
    </xf>
    <xf borderId="0" fillId="2" fontId="5" numFmtId="0" xfId="0" applyAlignment="1" applyFont="1">
      <alignment horizontal="center" readingOrder="0" vertical="bottom"/>
    </xf>
    <xf borderId="0" fillId="5" fontId="7" numFmtId="0" xfId="0" applyAlignment="1" applyFill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0" fillId="6" fontId="7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3" xfId="0" applyAlignment="1" applyFont="1" applyNumberFormat="1">
      <alignment horizontal="center" vertical="bottom"/>
    </xf>
    <xf borderId="0" fillId="0" fontId="2" numFmtId="9" xfId="0" applyAlignment="1" applyFont="1" applyNumberFormat="1">
      <alignment vertical="bottom"/>
    </xf>
    <xf borderId="0" fillId="0" fontId="7" numFmtId="9" xfId="0" applyAlignment="1" applyFont="1" applyNumberFormat="1">
      <alignment horizontal="center" readingOrder="0" vertical="bottom"/>
    </xf>
    <xf borderId="0" fillId="0" fontId="7" numFmtId="10" xfId="0" applyAlignment="1" applyFont="1" applyNumberFormat="1">
      <alignment horizontal="center" readingOrder="0" vertical="bottom"/>
    </xf>
    <xf borderId="0" fillId="0" fontId="4" numFmtId="3" xfId="0" applyFont="1" applyNumberFormat="1"/>
    <xf borderId="0" fillId="0" fontId="7" numFmtId="9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9" xfId="0" applyAlignment="1" applyFont="1" applyNumberFormat="1">
      <alignment readingOrder="0"/>
    </xf>
    <xf borderId="2" fillId="0" fontId="4" numFmtId="0" xfId="0" applyBorder="1" applyFont="1"/>
    <xf borderId="2" fillId="0" fontId="3" numFmtId="3" xfId="0" applyAlignment="1" applyBorder="1" applyFont="1" applyNumberFormat="1">
      <alignment horizontal="center"/>
    </xf>
    <xf borderId="2" fillId="0" fontId="4" numFmtId="0" xfId="0" applyAlignment="1" applyBorder="1" applyFont="1">
      <alignment readingOrder="0"/>
    </xf>
    <xf borderId="2" fillId="0" fontId="3" numFmtId="1" xfId="0" applyAlignment="1" applyBorder="1" applyFont="1" applyNumberFormat="1">
      <alignment horizontal="center"/>
    </xf>
    <xf borderId="0" fillId="0" fontId="1" numFmtId="3" xfId="0" applyAlignment="1" applyFont="1" applyNumberFormat="1">
      <alignment readingOrder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wrapText="0"/>
    </xf>
    <xf borderId="3" fillId="4" fontId="11" numFmtId="0" xfId="0" applyAlignment="1" applyBorder="1" applyFont="1">
      <alignment horizontal="center" readingOrder="0" shrinkToFit="0" wrapText="0"/>
    </xf>
    <xf borderId="4" fillId="0" fontId="10" numFmtId="0" xfId="0" applyAlignment="1" applyBorder="1" applyFont="1">
      <alignment shrinkToFit="0" wrapText="0"/>
    </xf>
    <xf borderId="5" fillId="7" fontId="11" numFmtId="0" xfId="0" applyAlignment="1" applyBorder="1" applyFill="1" applyFont="1">
      <alignment horizontal="center" readingOrder="0" shrinkToFit="0" wrapText="0"/>
    </xf>
    <xf borderId="6" fillId="0" fontId="10" numFmtId="0" xfId="0" applyAlignment="1" applyBorder="1" applyFont="1">
      <alignment readingOrder="0" shrinkToFit="0" wrapText="0"/>
    </xf>
    <xf borderId="7" fillId="7" fontId="11" numFmtId="0" xfId="0" applyAlignment="1" applyBorder="1" applyFont="1">
      <alignment horizontal="center" readingOrder="0" shrinkToFit="0" wrapText="0"/>
    </xf>
    <xf borderId="8" fillId="0" fontId="10" numFmtId="0" xfId="0" applyAlignment="1" applyBorder="1" applyFont="1">
      <alignment shrinkToFit="0" wrapText="0"/>
    </xf>
    <xf borderId="0" fillId="2" fontId="5" numFmtId="0" xfId="0" applyAlignment="1" applyFont="1">
      <alignment horizontal="center" readingOrder="0" vertical="bottom"/>
    </xf>
    <xf borderId="0" fillId="2" fontId="5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7" numFmtId="164" xfId="0" applyAlignment="1" applyFont="1" applyNumberFormat="1">
      <alignment horizontal="center" vertical="bottom"/>
    </xf>
    <xf borderId="0" fillId="0" fontId="7" numFmtId="10" xfId="0" applyAlignment="1" applyFont="1" applyNumberFormat="1">
      <alignment horizontal="center" vertical="bottom"/>
    </xf>
    <xf borderId="0" fillId="0" fontId="7" numFmtId="164" xfId="0" applyAlignment="1" applyFont="1" applyNumberFormat="1">
      <alignment horizontal="center" readingOrder="0" vertical="bottom"/>
    </xf>
    <xf borderId="0" fillId="0" fontId="2" numFmtId="9" xfId="0" applyAlignment="1" applyFont="1" applyNumberForma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TR Study Work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O5:P5" displayName="Table3_2" name="Table3_2" id="1">
  <tableColumns count="2">
    <tableColumn name="Column1" id="1"/>
    <tableColumn name="Column2" id="2"/>
  </tableColumns>
  <tableStyleInfo name="STR Study Work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irbnb.com/rooms/1716853000358760205?check_in=2026-10-01&amp;check_out=2026-10-02&amp;search_mode=regular_search&amp;source_impression_id=p3_1787142913_P3Nojd_cxn4WMjmP&amp;previous_page_section_name=1000&amp;federated_search_id=6992e594-bf7d-45a4-a99b-6c304c7f4415" TargetMode="External"/><Relationship Id="rId10" Type="http://schemas.openxmlformats.org/officeDocument/2006/relationships/hyperlink" Target="https://www.airbnb.com/rooms/1714601293552232674?check_in=2026-10-01&amp;check_out=2026-10-02&amp;search_mode=regular_search&amp;source_impression_id=p3_1787142913_P3x9ANhdThnsHDjY&amp;previous_page_section_name=1000&amp;federated_search_id=6992e594-bf7d-45a4-a99b-6c304c7f4415" TargetMode="External"/><Relationship Id="rId13" Type="http://schemas.openxmlformats.org/officeDocument/2006/relationships/hyperlink" Target="https://www.airbnb.com/rooms/1751427522859378636?check_in=2026-10-01&amp;check_out=2026-10-02&amp;search_mode=regular_search&amp;source_impression_id=p3_1787142784_P3lIuM-zzqKi7bnL&amp;previous_page_section_name=1000&amp;federated_search_id=052516ea-99ef-417c-9f88-0cedf3790a5f" TargetMode="External"/><Relationship Id="rId12" Type="http://schemas.openxmlformats.org/officeDocument/2006/relationships/hyperlink" Target="https://www.airbnb.com/rooms/1730600797017297897?check_in=2026-10-01&amp;check_out=2026-10-02&amp;search_mode=regular_search&amp;source_impression_id=p3_1787142823_P3evQ4oEj0XKHkLC&amp;previous_page_section_name=1000&amp;federated_search_id=0adacb2d-2158-49b2-b814-7384415f684f" TargetMode="External"/><Relationship Id="rId1" Type="http://schemas.openxmlformats.org/officeDocument/2006/relationships/hyperlink" Target="https://www.airbnb.com/rooms/1751427522859378636?check_in=2026-10-01&amp;check_out=2026-10-02&amp;search_mode=regular_search&amp;source_impression_id=p3_1787142784_P3lIuM-zzqKi7bnL&amp;previous_page_section_name=1000&amp;federated_search_id=052516ea-99ef-417c-9f88-0cedf3790a5f" TargetMode="External"/><Relationship Id="rId2" Type="http://schemas.openxmlformats.org/officeDocument/2006/relationships/hyperlink" Target="https://www.airbnb.com/rooms/1730600797017297897?check_in=2026-10-01&amp;check_out=2026-10-02&amp;search_mode=regular_search&amp;source_impression_id=p3_1787142823_P3evQ4oEj0XKHkLC&amp;previous_page_section_name=1000&amp;federated_search_id=0adacb2d-2158-49b2-b814-7384415f684f" TargetMode="External"/><Relationship Id="rId3" Type="http://schemas.openxmlformats.org/officeDocument/2006/relationships/hyperlink" Target="https://www.airbnb.com/rooms/1592880775637721016?check_in=2026-10-01&amp;check_out=2026-10-02&amp;search_mode=regular_search&amp;source_impression_id=p3_1787142951_P3MvLc2nOepS4dqD&amp;previous_page_section_name=1000&amp;federated_search_id=eff8f504-4be1-48bb-ae0f-09d6ab557d17" TargetMode="External"/><Relationship Id="rId4" Type="http://schemas.openxmlformats.org/officeDocument/2006/relationships/hyperlink" Target="https://www.airbnb.com/rooms/1748738661296942261?check_in=2026-10-01&amp;check_out=2026-10-02&amp;search_mode=regular_search&amp;source_impression_id=p3_1787142951_P3EQvibJgWqjs7wC&amp;previous_page_section_name=1000&amp;federated_search_id=eff8f504-4be1-48bb-ae0f-09d6ab557d17" TargetMode="External"/><Relationship Id="rId9" Type="http://schemas.openxmlformats.org/officeDocument/2006/relationships/hyperlink" Target="https://www.airbnb.com/rooms/1590903666850833849?check_in=2026-10-01&amp;check_out=2026-10-02&amp;search_mode=regular_search&amp;source_impression_id=p3_1787142913_P3cHdB80Fn5AUhz0&amp;previous_page_section_name=1000&amp;federated_search_id=6992e594-bf7d-45a4-a99b-6c304c7f4415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airbnb.com/rooms/1742223020678921987?check_in=2026-10-01&amp;check_out=2026-10-02&amp;search_mode=regular_search&amp;source_impression_id=p3_1787142951_P3lW2Uly_drd1jWU&amp;previous_page_section_name=1000&amp;federated_search_id=eff8f504-4be1-48bb-ae0f-09d6ab557d17" TargetMode="External"/><Relationship Id="rId6" Type="http://schemas.openxmlformats.org/officeDocument/2006/relationships/hyperlink" Target="https://www.airbnb.com/rooms/1672429163635019023?check_in=2026-10-01&amp;check_out=2026-10-02&amp;search_mode=regular_search&amp;source_impression_id=p3_1787142913_P3r47bBTwdqC78kf&amp;previous_page_section_name=1000&amp;federated_search_id=6992e594-bf7d-45a4-a99b-6c304c7f4415" TargetMode="External"/><Relationship Id="rId7" Type="http://schemas.openxmlformats.org/officeDocument/2006/relationships/hyperlink" Target="https://www.airbnb.com/rooms/1742223020678921987?check_in=2026-10-01&amp;check_out=2026-10-02&amp;search_mode=regular_search&amp;source_impression_id=p3_1787142913_P3vwQwOWhtZ42re5&amp;previous_page_section_name=1000&amp;federated_search_id=6992e594-bf7d-45a4-a99b-6c304c7f4415" TargetMode="External"/><Relationship Id="rId8" Type="http://schemas.openxmlformats.org/officeDocument/2006/relationships/hyperlink" Target="https://www.airbnb.com/rooms/1545416629708956462?check_in=2026-10-01&amp;check_out=2026-10-02&amp;search_mode=regular_search&amp;source_impression_id=p3_1787142913_P32IJUeoe3nlZyTZ&amp;previous_page_section_name=1000&amp;federated_search_id=6992e594-bf7d-45a4-a99b-6c304c7f4415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irbnb.com/rooms/1462675514439740160?check_in=2026-10-01&amp;check_out=2026-10-02&amp;search_mode=regular_search&amp;source_impression_id=p3_1787141659_P3FFQRAOHIpkrl0H&amp;previous_page_section_name=1000&amp;federated_search_id=add0d231-8a4c-4da2-80f1-acd3406dec80" TargetMode="External"/><Relationship Id="rId11" Type="http://schemas.openxmlformats.org/officeDocument/2006/relationships/hyperlink" Target="https://www.airbnb.com/rooms/1749886979594259489?check_in=2026-10-01&amp;check_out=2026-10-02&amp;search_mode=regular_search&amp;source_impression_id=p3_1787141219_P3jDZnPImVTfqd3e&amp;previous_page_section_name=1000&amp;federated_search_id=e5879753-481f-4492-97ed-b36ed0622cc3" TargetMode="External"/><Relationship Id="rId22" Type="http://schemas.openxmlformats.org/officeDocument/2006/relationships/hyperlink" Target="https://www.airbnb.com/rooms/1673287216646664314?check_in=2026-10-01&amp;check_out=2026-10-02&amp;search_mode=regular_search&amp;source_impression_id=p3_1787141316_P3s0PFkouBPbMJT5&amp;previous_page_section_name=1000&amp;federated_search_id=28f959a4-cc49-4b25-8c9a-2c24084e7734" TargetMode="External"/><Relationship Id="rId10" Type="http://schemas.openxmlformats.org/officeDocument/2006/relationships/hyperlink" Target="https://www.airbnb.com/rooms/1626244606211827597?check_in=2026-10-01&amp;check_out=2026-10-02&amp;search_mode=regular_search&amp;source_impression_id=p3_1787141219_P3iBXEcqEn9NvXFW&amp;previous_page_section_name=1000&amp;federated_search_id=e5879753-481f-4492-97ed-b36ed0622cc3" TargetMode="External"/><Relationship Id="rId21" Type="http://schemas.openxmlformats.org/officeDocument/2006/relationships/hyperlink" Target="https://www.airbnb.com/rooms/1689957818838734570?check_in=2026-10-01&amp;check_out=2026-10-02&amp;search_mode=regular_search&amp;source_impression_id=p3_1787141659_P3YluEFTxxDg26k4&amp;previous_page_section_name=1000&amp;federated_search_id=add0d231-8a4c-4da2-80f1-acd3406dec80" TargetMode="External"/><Relationship Id="rId13" Type="http://schemas.openxmlformats.org/officeDocument/2006/relationships/hyperlink" Target="https://www.airbnb.com/rooms/1712593353718321180?check_in=2026-10-01&amp;check_out=2026-10-02&amp;search_mode=regular_search&amp;source_impression_id=p3_1787141219_P38RvZHBOeUgG2Zl&amp;previous_page_section_name=1000&amp;federated_search_id=e5879753-481f-4492-97ed-b36ed0622cc3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www.airbnb.com/rooms/1750298004837284030?check_in=2026-10-01&amp;check_out=2026-10-02&amp;search_mode=regular_search&amp;source_impression_id=p3_1787141219_P3hjIRNBvMkDSwjC&amp;previous_page_section_name=1000&amp;federated_search_id=e5879753-481f-4492-97ed-b36ed0622cc3" TargetMode="External"/><Relationship Id="rId23" Type="http://schemas.openxmlformats.org/officeDocument/2006/relationships/hyperlink" Target="https://www.airbnb.com/rooms/1685757608380116021?check_in=2026-10-01&amp;check_out=2026-10-02&amp;search_mode=regular_search&amp;source_impression_id=p3_1787141316_P3fttbzLUqb0ulaz&amp;previous_page_section_name=1000&amp;federated_search_id=28f959a4-cc49-4b25-8c9a-2c24084e7734" TargetMode="External"/><Relationship Id="rId1" Type="http://schemas.openxmlformats.org/officeDocument/2006/relationships/hyperlink" Target="https://www.airbnb.com/rooms/1709508233515344380?check_in=2026-10-01&amp;check_out=2026-10-02&amp;search_mode=regular_search&amp;source_impression_id=p3_1787141219_P32G0w8YxaB6KpcG&amp;previous_page_section_name=1000&amp;federated_search_id=e5879753-481f-4492-97ed-b36ed0622cc3" TargetMode="External"/><Relationship Id="rId2" Type="http://schemas.openxmlformats.org/officeDocument/2006/relationships/hyperlink" Target="https://www.airbnb.com/rooms/1153255151899723284?check_in=2026-10-01&amp;check_out=2026-10-02&amp;search_mode=regular_search&amp;source_impression_id=p3_1787141219_P3Os9TGnzxtqGXKg&amp;previous_page_section_name=1000&amp;federated_search_id=e5879753-481f-4492-97ed-b36ed0622cc3" TargetMode="External"/><Relationship Id="rId3" Type="http://schemas.openxmlformats.org/officeDocument/2006/relationships/hyperlink" Target="https://www.airbnb.com/rooms/1644754886076716819?check_in=2026-10-01&amp;check_out=2026-10-02&amp;search_mode=regular_search&amp;source_impression_id=p3_1787141219_P3fO-Is1ZBR0_ISW&amp;previous_page_section_name=1000&amp;federated_search_id=e5879753-481f-4492-97ed-b36ed0622cc3" TargetMode="External"/><Relationship Id="rId4" Type="http://schemas.openxmlformats.org/officeDocument/2006/relationships/hyperlink" Target="https://www.airbnb.com/rooms/1489244736200861117?check_in=2026-10-01&amp;check_out=2026-10-02&amp;search_mode=regular_search&amp;source_impression_id=p3_1787141219_P3EAyVxYDCIJAScV&amp;previous_page_section_name=1000&amp;federated_search_id=e5879753-481f-4492-97ed-b36ed0622cc3" TargetMode="External"/><Relationship Id="rId9" Type="http://schemas.openxmlformats.org/officeDocument/2006/relationships/hyperlink" Target="https://www.airbnb.com/rooms/1750192253420025571?check_in=2026-10-01&amp;check_out=2026-10-02&amp;search_mode=regular_search&amp;source_impression_id=p3_1787141219_P3F_FuwAnTEDWXDS&amp;previous_page_section_name=1000&amp;federated_search_id=e5879753-481f-4492-97ed-b36ed0622cc3" TargetMode="External"/><Relationship Id="rId15" Type="http://schemas.openxmlformats.org/officeDocument/2006/relationships/hyperlink" Target="https://www.airbnb.com/rooms/1559196033178797915?check_in=2026-10-01&amp;check_out=2026-10-02&amp;search_mode=regular_search&amp;source_impression_id=p3_1787140730_P3B9bOJJ8mkqYdZc&amp;previous_page_section_name=1000&amp;federated_search_id=eba9578d-27c3-44cf-a77a-d653d4da8755" TargetMode="External"/><Relationship Id="rId14" Type="http://schemas.openxmlformats.org/officeDocument/2006/relationships/hyperlink" Target="https://www.airbnb.com/rooms/1720399590455133170?check_in=2026-10-01&amp;check_out=2026-10-02&amp;search_mode=regular_search&amp;source_impression_id=p3_1787141219_P3KT3_uBYWG_2XZ2&amp;previous_page_section_name=1000&amp;federated_search_id=e5879753-481f-4492-97ed-b36ed0622cc3" TargetMode="External"/><Relationship Id="rId17" Type="http://schemas.openxmlformats.org/officeDocument/2006/relationships/hyperlink" Target="https://www.airbnb.com/rooms/1558980203180826139?check_in=2026-10-01&amp;check_out=2026-10-02&amp;search_mode=regular_search&amp;source_impression_id=p3_1787141316_P3OzICgdyKwEu4Ng&amp;previous_page_section_name=1000&amp;federated_search_id=28f959a4-cc49-4b25-8c9a-2c24084e7734" TargetMode="External"/><Relationship Id="rId16" Type="http://schemas.openxmlformats.org/officeDocument/2006/relationships/hyperlink" Target="https://www.airbnb.com/rooms/1695913641681341864?check_in=2026-10-01&amp;check_out=2026-10-02&amp;search_mode=regular_search&amp;source_impression_id=p3_1787141316_P3FIiRUO4P-v9PWK&amp;previous_page_section_name=1000&amp;federated_search_id=28f959a4-cc49-4b25-8c9a-2c24084e7734" TargetMode="External"/><Relationship Id="rId5" Type="http://schemas.openxmlformats.org/officeDocument/2006/relationships/hyperlink" Target="https://www.airbnb.com/rooms/1649409194018194123?check_in=2026-10-01&amp;check_out=2026-10-02&amp;search_mode=regular_search&amp;source_impression_id=p3_1787141219_P3FIcz1pBU3FWFOM&amp;previous_page_section_name=1000&amp;federated_search_id=e5879753-481f-4492-97ed-b36ed0622cc3" TargetMode="External"/><Relationship Id="rId19" Type="http://schemas.openxmlformats.org/officeDocument/2006/relationships/hyperlink" Target="https://www.airbnb.com/rooms/1437124570356945284?check_in=2026-10-01&amp;check_out=2026-10-02&amp;search_mode=regular_search&amp;source_impression_id=p3_1787141659_P3D7V6x9IyfaVUoL&amp;previous_page_section_name=1000&amp;federated_search_id=add0d231-8a4c-4da2-80f1-acd3406dec80" TargetMode="External"/><Relationship Id="rId6" Type="http://schemas.openxmlformats.org/officeDocument/2006/relationships/hyperlink" Target="https://www.airbnb.com/rooms/1689451785890860579?check_in=2026-10-01&amp;check_out=2026-10-02&amp;search_mode=regular_search&amp;source_impression_id=p3_1787141219_P3BIy8wbNwtKa53c&amp;previous_page_section_name=1000&amp;federated_search_id=e5879753-481f-4492-97ed-b36ed0622cc3" TargetMode="External"/><Relationship Id="rId18" Type="http://schemas.openxmlformats.org/officeDocument/2006/relationships/hyperlink" Target="https://www.airbnb.com/rooms/1715395526839792457?check_in=2026-10-01&amp;check_out=2026-10-02&amp;search_mode=regular_search&amp;source_impression_id=p3_1787141659_P3LArekqpJHaVRZB&amp;previous_page_section_name=1000&amp;federated_search_id=add0d231-8a4c-4da2-80f1-acd3406dec80" TargetMode="External"/><Relationship Id="rId7" Type="http://schemas.openxmlformats.org/officeDocument/2006/relationships/hyperlink" Target="https://www.airbnb.com/rooms/1583099116101543729?check_in=2026-10-01&amp;check_out=2026-10-02&amp;search_mode=regular_search&amp;source_impression_id=p3_1787141219_P3QkDgSMDtM9ymsV&amp;previous_page_section_name=1000&amp;federated_search_id=e5879753-481f-4492-97ed-b36ed0622cc3" TargetMode="External"/><Relationship Id="rId8" Type="http://schemas.openxmlformats.org/officeDocument/2006/relationships/hyperlink" Target="https://www.airbnb.com/rooms/1734735726430580959?check_in=2026-10-01&amp;check_out=2026-10-02&amp;search_mode=regular_search&amp;source_impression_id=p3_1787141219_P37G0Pzmpsf04039&amp;previous_page_section_name=1000&amp;federated_search_id=e5879753-481f-4492-97ed-b36ed0622cc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yut.sa/%D8%A7%D9%84%D8%B9%D9%82%D8%A7%D8%B1/%D8%AA%D9%81%D8%A7%D8%B5%D9%8A%D9%84-87836990.html" TargetMode="External"/><Relationship Id="rId22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A7%D9%84%D8%AE%D9%85%D8%A7%D8%B3%D9%8A%D9%87-%D8%AD%D9%8A-%D8%A7%D9%84%D9%86%D8%B2%D9%87%D8%A9-%D9%85%D8%AF%D9%8A%D9%86%D8%A9-%D8%AC%D8%AF%D8%A9-%D9%85%D9%86%D8%B7%D9%82%D8%A9-%D9%85%D9%83%D8%A9-%D8%A7%D9%84%D9%85%D9%83%D8%B1%D9%85%D8%A9-6829247" TargetMode="External"/><Relationship Id="rId21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A7%D9%84%D8%AE%D9%85%D8%A7%D8%B3%D9%8A%D9%87-%D8%AD%D9%8A-%D8%A7%D9%84%D9%86%D8%B2%D9%87%D8%A9-%D9%85%D8%AF%D9%8A%D9%86%D8%A9-%D8%AC%D8%AF%D8%A9-%D9%85%D9%86%D8%B7%D9%82%D8%A9-%D9%85%D9%83%D8%A9-%D8%A7%D9%84%D9%85%D9%83%D8%B1%D9%85%D8%A9-6731760" TargetMode="External"/><Relationship Id="rId24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A7%D9%84%D8%AE%D9%85%D8%A7%D8%B3%D9%8A%D9%87-%D8%AD%D9%8A-%D8%A7%D9%84%D9%86%D8%B2%D9%87%D8%A9-%D9%85%D8%AF%D9%8A%D9%86%D8%A9-%D8%AC%D8%AF%D8%A9-%D9%85%D9%86%D8%B7%D9%82%D8%A9-%D9%85%D9%83%D8%A9-%D8%A7%D9%84%D9%85%D9%83%D8%B1%D9%85%D8%A9-6716968" TargetMode="External"/><Relationship Id="rId23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A7%D9%84%D8%AE%D9%85%D8%A7%D8%B3%D9%8A%D9%87-%D8%AD%D9%8A-%D8%A7%D9%84%D9%86%D8%B2%D9%87%D8%A9-%D9%85%D8%AF%D9%8A%D9%86%D8%A9-%D8%AC%D8%AF%D8%A9-%D9%85%D9%86%D8%B7%D9%82%D8%A9-%D9%85%D9%83%D8%A9-%D8%A7%D9%84%D9%85%D9%83%D8%B1%D9%85%D8%A9-6718739" TargetMode="External"/><Relationship Id="rId1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B8%D9%8A%D8%A8%D8%A7%D9%86-%D8%A8%D9%86-%D8%B9%D9%85%D8%A7%D8%B1%D9%87-%D8%AD%D9%8A-%D8%A7%D9%84%D9%86%D8%B2%D9%87%D8%A9-%D8%AC%D8%AF%D8%A9-%D8%AC%D8%AF%D8%A9-6818284" TargetMode="External"/><Relationship Id="rId2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B7%D8%B1%D9%8A%D9%82-%D8%A7%D9%84%D9%85%D9%84%D9%83-%D9%81%D9%87%D8%AF-%D9%81%D8%B1%D8%B9%D9%8A-%D8%AD%D9%8A-%D8%A7%D9%84%D9%86%D8%B2%D9%87%D8%A9-%D9%85%D8%AF%D9%8A%D9%86%D8%A9-%D8%AC%D8%AF%D8%A9-%D9%85%D9%86%D8%B7%D9%82%D8%A9-%D9%85%D9%83%D8%A9-%D8%A7%D9%84%D9%85%D9%83%D8%B1%D9%85%D8%A9-6710325" TargetMode="External"/><Relationship Id="rId3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B9%D8%AA%D9%8A%D8%A8%D9%87-%D8%A7%D9%84%D8%A8%D9%84%D9%88%D9%8A-%D8%AD%D9%8A-%D8%A7%D9%84%D9%86%D8%B2%D9%87%D8%A9-%D9%85%D8%AF%D9%8A%D9%86%D8%A9-%D8%AC%D8%AF%D8%A9-%D9%85%D9%86%D8%B7%D9%82%D8%A9-%D9%85%D9%83%D8%A9-%D8%A7%D9%84%D9%85%D9%83%D8%B1%D9%85%D8%A9-6668237" TargetMode="External"/><Relationship Id="rId4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9%81%D8%B1%D8%A7%D8%A6%D8%AF-%D8%A7%D9%84%D8%B6%D8%A8%D8%B7%D9%8A%D9%87-%D8%AD%D9%8A-%D8%A7%D9%84%D9%86%D8%B2%D9%87%D8%A9-%D9%85%D8%AF%D9%8A%D9%86%D8%A9-%D8%AC%D8%AF%D8%A9-%D9%85%D9%86%D8%B7%D9%82%D8%A9-%D9%85%D9%83%D8%A9-%D8%A7%D9%84%D9%85%D9%83%D8%B1%D9%85%D8%A9-6785594" TargetMode="External"/><Relationship Id="rId9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B7%D8%B1%D9%8A%D9%82-%D8%A7%D9%84%D9%85%D9%84%D9%83-%D9%81%D9%87%D8%AF-%D9%81%D8%B1%D8%B9%D9%8A-%D8%AD%D9%8A-%D8%A7%D9%84%D9%86%D8%B2%D9%87%D8%A9-%D9%85%D8%AF%D9%8A%D9%86%D8%A9-%D8%AC%D8%AF%D8%A9-%D9%85%D9%86%D8%B7%D9%82%D8%A9-%D9%85%D9%83%D8%A9-%D8%A7%D9%84%D9%85%D9%83%D8%B1%D9%85%D8%A9-6714958" TargetMode="External"/><Relationship Id="rId26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B3%D8%B9%D9%8A%D8%AF-%D8%A7%D9%84%D8%A8%D8%AE%D8%AA%D8%B1%D9%8A-%D8%AD%D9%8A-%D8%A7%D9%84%D9%86%D8%B2%D9%87%D8%A9-%D9%85%D8%AF%D9%8A%D9%86%D8%A9-%D8%AC%D8%AF%D8%A9-%D9%85%D9%86%D8%B7%D9%82%D8%A9-%D9%85%D9%83%D8%A9-%D8%A7%D9%84%D9%85%D9%83%D8%B1%D9%85%D8%A9-6600635" TargetMode="External"/><Relationship Id="rId25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A7%D8%AD%D9%85%D8%AF-%D8%A7%D9%84%D8%B1%D9%82%D9%8A%D9%85%D9%8A-%D8%AD%D9%8A-%D8%A7%D9%84%D9%86%D8%B2%D9%87%D8%A9-%D9%85%D8%AF%D9%8A%D9%86%D8%A9-%D8%AC%D8%AF%D8%A9-%D9%85%D9%86%D8%B7%D9%82%D8%A9-%D9%85%D9%83%D8%A9-%D8%A7%D9%84%D9%85%D9%83%D8%B1%D9%85%D8%A9-6633501" TargetMode="External"/><Relationship Id="rId28" Type="http://schemas.openxmlformats.org/officeDocument/2006/relationships/hyperlink" Target="https://www.bayut.sa/%D8%A7%D9%84%D8%B9%D9%82%D8%A7%D8%B1/%D8%AA%D9%81%D8%A7%D8%B5%D9%8A%D9%84-88088856.html" TargetMode="External"/><Relationship Id="rId27" Type="http://schemas.openxmlformats.org/officeDocument/2006/relationships/hyperlink" Target="https://www.bayut.sa/%D8%A7%D9%84%D8%B9%D9%82%D8%A7%D8%B1/%D8%AA%D9%81%D8%A7%D8%B5%D9%8A%D9%84-88036038.html" TargetMode="External"/><Relationship Id="rId5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B7%D8%B1%D9%8A%D9%82-%D8%A7%D9%84%D9%85%D9%84%D9%83-%D9%81%D9%87%D8%AF-%D9%81%D8%B1%D8%B9%D9%8A-%D8%AD%D9%8A-%D8%A7%D9%84%D9%86%D8%B2%D9%87%D8%A9-%D9%85%D8%AF%D9%8A%D9%86%D8%A9-%D8%AC%D8%AF%D8%A9-%D9%85%D9%86%D8%B7%D9%82%D8%A9-%D9%85%D9%83%D8%A9-%D8%A7%D9%84%D9%85%D9%83%D8%B1%D9%85%D8%A9-6710325" TargetMode="External"/><Relationship Id="rId6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A7%D9%84%D8%A8%D8%B4%D8%A7%D9%85-%D8%AD%D9%8A-%D8%A7%D9%84%D9%86%D8%B2%D9%87%D8%A9-%D9%85%D8%AF%D9%8A%D9%86%D8%A9-%D8%AC%D8%AF%D8%A9-%D9%85%D9%86%D8%B7%D9%82%D8%A9-%D9%85%D9%83%D8%A9-%D8%A7%D9%84%D9%85%D9%83%D8%B1%D9%85%D8%A9-6815004" TargetMode="External"/><Relationship Id="rId29" Type="http://schemas.openxmlformats.org/officeDocument/2006/relationships/hyperlink" Target="https://www.bayut.sa/%D8%A7%D9%84%D8%B9%D9%82%D8%A7%D8%B1/%D8%AA%D9%81%D8%A7%D8%B5%D9%8A%D9%84-87932446.html" TargetMode="External"/><Relationship Id="rId7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B8%D9%8A%D8%A8%D8%A7%D9%86-%D8%A8%D9%86-%D8%B9%D9%85%D8%A7%D8%B1%D9%87-%D8%AD%D9%8A-%D8%A7%D9%84%D9%86%D8%B2%D9%87%D8%A9-%D8%AC%D8%AF%D8%A9-%D8%AC%D8%AF%D8%A9-6616554" TargetMode="External"/><Relationship Id="rId8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9%86%D9%81%D9%88%D8%B2-%D9%82%D9%86%D9%81%D9%8A%D8%B0%D9%87-%D8%AD%D9%8A-%D8%A7%D9%84%D9%86%D8%B2%D9%87%D8%A9-%D9%85%D8%AF%D9%8A%D9%86%D8%A9-%D8%AC%D8%AF%D8%A9-%D9%85%D9%86%D8%B7%D9%82%D8%A9-%D9%85%D9%83%D8%A9-%D8%A7%D9%84%D9%85%D9%83%D8%B1%D9%85%D8%A9-6784169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https://www.bayut.sa/%D8%A7%D9%84%D8%B9%D9%82%D8%A7%D8%B1/%D8%AA%D9%81%D8%A7%D8%B5%D9%8A%D9%84-87837533.html" TargetMode="External"/><Relationship Id="rId11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B3%D8%B9%D9%8A%D8%AF-%D8%A7%D9%84%D8%A8%D8%AE%D8%AA%D8%B1%D9%8A-%D8%AD%D9%8A-%D8%A7%D9%84%D9%86%D8%B2%D9%87%D8%A9-%D9%85%D8%AF%D9%8A%D9%86%D8%A9-%D8%AC%D8%AF%D8%A9-%D9%85%D9%86%D8%B7%D9%82%D8%A9-%D9%85%D9%83%D8%A9-%D8%A7%D9%84%D9%85%D9%83%D8%B1%D9%85%D8%A9-6571736" TargetMode="External"/><Relationship Id="rId10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A7%D9%84%D8%B9%D8%A7%D9%85-%D8%AD%D9%8A-%D8%A7%D9%84%D9%86%D8%B2%D9%87%D8%A9-%D9%85%D8%AF%D9%8A%D9%86%D8%A9-%D8%AC%D8%AF%D8%A9-%D9%85%D9%86%D8%B7%D9%82%D8%A9-%D9%85%D9%83%D8%A9-%D8%A7%D9%84%D9%85%D9%83%D8%B1%D9%85%D8%A9-6740644" TargetMode="External"/><Relationship Id="rId13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9%85%D8%AD%D9%85%D8%AF-%D8%B3%D8%B9%D9%8A%D8%AF-%D9%86%D8%A7%D8%B5%D9%8A%D9%81-%D9%81%D8%B1%D8%B9%D9%8A-%D8%AD%D9%8A-%D8%A7%D9%84%D9%86%D8%B2%D9%87%D8%A9-%D9%85%D8%AF%D9%8A%D9%86%D8%A9-%D8%AC%D8%AF%D8%A9-%D9%85%D9%86%D8%B7%D9%82%D8%A9-%D9%85%D9%83%D8%A9-%D8%A7%D9%84%D9%85%D9%83%D8%B1%D9%85%D8%A9-6718582" TargetMode="External"/><Relationship Id="rId12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A7%D9%84%D8%B9%D8%A7%D9%85-%D8%AD%D9%8A-%D8%A7%D9%84%D9%86%D8%B2%D9%87%D8%A9-%D9%85%D8%AF%D9%8A%D9%86%D8%A9-%D8%AC%D8%AF%D8%A9-%D9%85%D9%86%D8%B7%D9%82%D8%A9-%D9%85%D9%83%D8%A9-%D8%A7%D9%84%D9%85%D9%83%D8%B1%D9%85%D8%A9-6739877" TargetMode="External"/><Relationship Id="rId15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A7%D9%84%D8%AE%D9%85%D8%A7%D8%B3%D9%8A%D9%87-%D8%AD%D9%8A-%D8%A7%D9%84%D9%86%D8%B2%D9%87%D8%A9-%D9%85%D8%AF%D9%8A%D9%86%D8%A9-%D8%AC%D8%AF%D8%A9-%D9%85%D9%86%D8%B7%D9%82%D8%A9-%D9%85%D9%83%D8%A9-%D8%A7%D9%84%D9%85%D9%83%D8%B1%D9%85%D8%A9-6721049" TargetMode="External"/><Relationship Id="rId14" Type="http://schemas.openxmlformats.org/officeDocument/2006/relationships/hyperlink" Target="https://www.bayut.sa/%D8%A7%D9%84%D8%B9%D9%82%D8%A7%D8%B1/%D8%AA%D9%81%D8%A7%D8%B5%D9%8A%D9%84-88061690.html" TargetMode="External"/><Relationship Id="rId17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A7%D9%84%D9%82%D8%B1%D9%8A%D8%A8%D8%A7%D9%86%D9%8A%D8%A7%D8%AA-%D8%AD%D9%8A-%D8%A7%D9%84%D9%86%D8%B2%D9%87%D8%A9-%D8%AC%D8%AF%D8%A9-%D8%AC%D8%AF%D8%A9-6588948" TargetMode="External"/><Relationship Id="rId16" Type="http://schemas.openxmlformats.org/officeDocument/2006/relationships/hyperlink" Target="https://www.bayut.sa/%D8%A7%D9%84%D8%B9%D9%82%D8%A7%D8%B1/%D8%AA%D9%81%D8%A7%D8%B5%D9%8A%D9%84-88061690.html" TargetMode="External"/><Relationship Id="rId19" Type="http://schemas.openxmlformats.org/officeDocument/2006/relationships/hyperlink" Target="https://sa.aqar.fm/%D8%B4%D9%82%D9%82-%D9%84%D9%84%D8%A5%D9%8A%D8%AC%D8%A7%D8%B1/%D8%AC%D8%AF%D8%A9/%D8%B4%D9%85%D8%A7%D9%84-%D8%AC%D8%AF%D8%A9/%D8%AD%D9%8A-%D8%A7%D9%84%D9%86%D8%B2%D9%87%D8%A9/%D8%B4%D8%A7%D8%B1%D8%B9-%D8%A7%D9%84%D9%81%D8%B6%D9%84-%D8%A7%D9%84%D9%84%D9%87%D8%A8%D9%8A-%D8%AD%D9%8A-%D8%A7%D9%84%D9%86%D8%B2%D9%87%D8%A9-%D8%AC%D8%AF%D8%A9-%D8%AC%D8%AF%D8%A9-6457739" TargetMode="External"/><Relationship Id="rId18" Type="http://schemas.openxmlformats.org/officeDocument/2006/relationships/hyperlink" Target="https://www.bayut.sa/%D8%A7%D9%84%D8%B9%D9%82%D8%A7%D8%B1/%D8%AA%D9%81%D8%A7%D8%B5%D9%8A%D9%84-88040941.htm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6.88"/>
    <col customWidth="1" min="8" max="8" width="15.25"/>
  </cols>
  <sheetData>
    <row r="2">
      <c r="A2" s="1" t="s">
        <v>0</v>
      </c>
    </row>
    <row r="3">
      <c r="C3" s="3" t="s">
        <v>1</v>
      </c>
    </row>
    <row r="4">
      <c r="A4" s="8" t="s">
        <v>3</v>
      </c>
      <c r="B4" s="9">
        <v>654.0</v>
      </c>
      <c r="C4" s="12">
        <f t="shared" ref="C4:C16" si="1">B4*(1-15%)</f>
        <v>555.9</v>
      </c>
    </row>
    <row r="5">
      <c r="A5" s="8" t="s">
        <v>14</v>
      </c>
      <c r="B5" s="9">
        <v>400.0</v>
      </c>
      <c r="C5" s="12">
        <f t="shared" si="1"/>
        <v>340</v>
      </c>
    </row>
    <row r="6">
      <c r="A6" s="8" t="s">
        <v>16</v>
      </c>
      <c r="B6" s="9">
        <v>407.0</v>
      </c>
      <c r="C6" s="12">
        <f t="shared" si="1"/>
        <v>345.95</v>
      </c>
    </row>
    <row r="7">
      <c r="A7" s="8" t="s">
        <v>19</v>
      </c>
      <c r="B7" s="9">
        <v>372.0</v>
      </c>
      <c r="C7" s="12">
        <f t="shared" si="1"/>
        <v>316.2</v>
      </c>
    </row>
    <row r="8">
      <c r="A8" s="8" t="s">
        <v>21</v>
      </c>
      <c r="B8" s="9">
        <v>489.0</v>
      </c>
      <c r="C8" s="12">
        <f t="shared" si="1"/>
        <v>415.65</v>
      </c>
    </row>
    <row r="9">
      <c r="A9" s="8" t="s">
        <v>23</v>
      </c>
      <c r="B9" s="9">
        <v>779.0</v>
      </c>
      <c r="C9" s="12">
        <f t="shared" si="1"/>
        <v>662.15</v>
      </c>
    </row>
    <row r="10">
      <c r="A10" s="8" t="s">
        <v>26</v>
      </c>
      <c r="B10" s="9">
        <v>489.0</v>
      </c>
      <c r="C10" s="12">
        <f t="shared" si="1"/>
        <v>415.65</v>
      </c>
    </row>
    <row r="11">
      <c r="A11" s="8" t="s">
        <v>27</v>
      </c>
      <c r="B11" s="9">
        <v>431.0</v>
      </c>
      <c r="C11" s="12">
        <f t="shared" si="1"/>
        <v>366.35</v>
      </c>
    </row>
    <row r="12">
      <c r="A12" s="8" t="s">
        <v>31</v>
      </c>
      <c r="B12" s="9">
        <v>432.0</v>
      </c>
      <c r="C12" s="12">
        <f t="shared" si="1"/>
        <v>367.2</v>
      </c>
    </row>
    <row r="13">
      <c r="A13" s="8" t="s">
        <v>34</v>
      </c>
      <c r="B13" s="9">
        <v>450.0</v>
      </c>
      <c r="C13" s="12">
        <f t="shared" si="1"/>
        <v>382.5</v>
      </c>
    </row>
    <row r="14">
      <c r="A14" s="8" t="s">
        <v>37</v>
      </c>
      <c r="B14" s="9">
        <v>328.0</v>
      </c>
      <c r="C14" s="12">
        <f t="shared" si="1"/>
        <v>278.8</v>
      </c>
    </row>
    <row r="15">
      <c r="A15" s="8" t="s">
        <v>39</v>
      </c>
      <c r="B15" s="9">
        <v>400.0</v>
      </c>
      <c r="C15" s="12">
        <f t="shared" si="1"/>
        <v>340</v>
      </c>
    </row>
    <row r="16">
      <c r="A16" s="8" t="s">
        <v>40</v>
      </c>
      <c r="B16" s="9">
        <v>645.0</v>
      </c>
      <c r="C16" s="12">
        <f t="shared" si="1"/>
        <v>548.25</v>
      </c>
    </row>
    <row r="17">
      <c r="B17" s="9"/>
      <c r="C17" s="12"/>
    </row>
    <row r="20">
      <c r="F20" s="3" t="s">
        <v>42</v>
      </c>
      <c r="H20" s="3" t="s">
        <v>43</v>
      </c>
    </row>
    <row r="21">
      <c r="B21" s="10"/>
      <c r="C21" s="12">
        <f>AVERAGE($C$4:$C$16)</f>
        <v>410.3538462</v>
      </c>
      <c r="D21" s="20" t="s">
        <v>44</v>
      </c>
      <c r="F21" s="12">
        <f t="shared" ref="F21:F23" si="2">C21-120</f>
        <v>290.3538462</v>
      </c>
      <c r="G21" s="21"/>
      <c r="H21" s="10">
        <f>F21*365*0.55</f>
        <v>58288.53462</v>
      </c>
    </row>
    <row r="22">
      <c r="B22" s="10"/>
      <c r="C22" s="12">
        <f>ROUND(AVERAGE($C$4:$C$16) -_xlfn.T.INV.2T(0.1, COUNT($C$4:$C$16)-1) *
(_xlfn.STDEV.S($C$4:$C$16) / SQRT(COUNT($C$4:$C$16))),0)</f>
        <v>355</v>
      </c>
      <c r="D22" s="12" t="s">
        <v>49</v>
      </c>
      <c r="F22" s="12">
        <f t="shared" si="2"/>
        <v>235</v>
      </c>
      <c r="G22" s="21"/>
      <c r="H22" s="10">
        <f t="shared" ref="H22:H23" si="3">F22*365*0.5</f>
        <v>42887.5</v>
      </c>
    </row>
    <row r="23">
      <c r="B23" s="10"/>
      <c r="C23" s="12">
        <f>round(AVERAGE($C$4:$C$16) + _xlfn.T.INV.2T(0.05, COUNT($C$4:$C$16)-1) * (_xlfn.STDEV.S($C$4:$C$16) / SQRT(COUNT($C$4:$C$16)))
,0)</f>
        <v>478</v>
      </c>
      <c r="D23" s="12" t="s">
        <v>51</v>
      </c>
      <c r="F23" s="12">
        <f t="shared" si="2"/>
        <v>358</v>
      </c>
      <c r="G23" s="21"/>
      <c r="H23" s="10">
        <f t="shared" si="3"/>
        <v>65335</v>
      </c>
    </row>
  </sheetData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25.5"/>
  </cols>
  <sheetData>
    <row r="2">
      <c r="A2" s="1" t="s">
        <v>0</v>
      </c>
      <c r="C2" s="3" t="s">
        <v>1</v>
      </c>
    </row>
    <row r="3">
      <c r="A3" s="8" t="s">
        <v>2</v>
      </c>
      <c r="B3" s="5">
        <v>388.0</v>
      </c>
      <c r="C3" s="10">
        <f t="shared" ref="C3:C25" si="1">B3*(1-15%)</f>
        <v>329.8</v>
      </c>
    </row>
    <row r="4">
      <c r="A4" s="8" t="s">
        <v>13</v>
      </c>
      <c r="B4" s="5">
        <v>500.0</v>
      </c>
      <c r="C4" s="10">
        <f t="shared" si="1"/>
        <v>425</v>
      </c>
      <c r="D4" s="14"/>
    </row>
    <row r="5">
      <c r="A5" s="8" t="s">
        <v>18</v>
      </c>
      <c r="B5" s="5">
        <v>614.0</v>
      </c>
      <c r="C5" s="10">
        <f t="shared" si="1"/>
        <v>521.9</v>
      </c>
      <c r="D5" s="14"/>
    </row>
    <row r="6">
      <c r="A6" s="8" t="s">
        <v>22</v>
      </c>
      <c r="B6" s="5">
        <v>812.0</v>
      </c>
      <c r="C6" s="10">
        <f t="shared" si="1"/>
        <v>690.2</v>
      </c>
    </row>
    <row r="7">
      <c r="A7" s="8" t="s">
        <v>25</v>
      </c>
      <c r="B7" s="5">
        <v>600.0</v>
      </c>
      <c r="C7" s="10">
        <f t="shared" si="1"/>
        <v>510</v>
      </c>
      <c r="D7" s="14"/>
    </row>
    <row r="8">
      <c r="A8" s="8" t="s">
        <v>29</v>
      </c>
      <c r="B8" s="5">
        <v>299.0</v>
      </c>
      <c r="C8" s="10">
        <f t="shared" si="1"/>
        <v>254.15</v>
      </c>
      <c r="D8" s="14"/>
    </row>
    <row r="9">
      <c r="A9" s="8" t="s">
        <v>32</v>
      </c>
      <c r="B9" s="5">
        <v>465.0</v>
      </c>
      <c r="C9" s="10">
        <f t="shared" si="1"/>
        <v>395.25</v>
      </c>
      <c r="D9" s="14"/>
    </row>
    <row r="10">
      <c r="A10" s="8" t="s">
        <v>36</v>
      </c>
      <c r="B10" s="5">
        <v>525.0</v>
      </c>
      <c r="C10" s="10">
        <f t="shared" si="1"/>
        <v>446.25</v>
      </c>
      <c r="D10" s="14"/>
    </row>
    <row r="11">
      <c r="A11" s="8" t="s">
        <v>41</v>
      </c>
      <c r="B11" s="5">
        <v>640.0</v>
      </c>
      <c r="C11" s="10">
        <f t="shared" si="1"/>
        <v>544</v>
      </c>
      <c r="D11" s="14"/>
    </row>
    <row r="12">
      <c r="A12" s="8" t="s">
        <v>46</v>
      </c>
      <c r="B12" s="5">
        <v>550.0</v>
      </c>
      <c r="C12" s="10">
        <f t="shared" si="1"/>
        <v>467.5</v>
      </c>
      <c r="D12" s="14"/>
    </row>
    <row r="13">
      <c r="A13" s="8" t="s">
        <v>47</v>
      </c>
      <c r="B13" s="5">
        <v>268.0</v>
      </c>
      <c r="C13" s="10">
        <f t="shared" si="1"/>
        <v>227.8</v>
      </c>
    </row>
    <row r="14">
      <c r="A14" s="8" t="s">
        <v>50</v>
      </c>
      <c r="B14" s="5">
        <v>480.0</v>
      </c>
      <c r="C14" s="10">
        <f t="shared" si="1"/>
        <v>408</v>
      </c>
    </row>
    <row r="15">
      <c r="A15" s="8" t="s">
        <v>53</v>
      </c>
      <c r="B15" s="5">
        <v>704.0</v>
      </c>
      <c r="C15" s="10">
        <f t="shared" si="1"/>
        <v>598.4</v>
      </c>
    </row>
    <row r="16">
      <c r="A16" s="8" t="s">
        <v>55</v>
      </c>
      <c r="B16" s="5">
        <v>620.0</v>
      </c>
      <c r="C16" s="10">
        <f t="shared" si="1"/>
        <v>527</v>
      </c>
    </row>
    <row r="17">
      <c r="A17" s="8" t="s">
        <v>57</v>
      </c>
      <c r="B17" s="5">
        <v>314.0</v>
      </c>
      <c r="C17" s="10">
        <f t="shared" si="1"/>
        <v>266.9</v>
      </c>
    </row>
    <row r="18">
      <c r="A18" s="8" t="s">
        <v>59</v>
      </c>
      <c r="B18" s="5">
        <v>558.0</v>
      </c>
      <c r="C18" s="10">
        <f t="shared" si="1"/>
        <v>474.3</v>
      </c>
    </row>
    <row r="19">
      <c r="A19" s="8" t="s">
        <v>62</v>
      </c>
      <c r="B19" s="5">
        <v>773.0</v>
      </c>
      <c r="C19" s="10">
        <f t="shared" si="1"/>
        <v>657.05</v>
      </c>
      <c r="J19" s="5">
        <v>55000.0</v>
      </c>
    </row>
    <row r="20">
      <c r="A20" s="8" t="s">
        <v>64</v>
      </c>
      <c r="B20" s="5">
        <v>796.0</v>
      </c>
      <c r="C20" s="10">
        <f t="shared" si="1"/>
        <v>676.6</v>
      </c>
      <c r="J20" s="22">
        <f>J19/365*2</f>
        <v>301.369863</v>
      </c>
    </row>
    <row r="21">
      <c r="A21" s="8" t="s">
        <v>67</v>
      </c>
      <c r="B21" s="5">
        <v>793.0</v>
      </c>
      <c r="C21" s="10">
        <f t="shared" si="1"/>
        <v>674.05</v>
      </c>
      <c r="D21" s="25"/>
      <c r="J21" s="22">
        <f>J20*1.35</f>
        <v>406.8493151</v>
      </c>
    </row>
    <row r="22">
      <c r="A22" s="8" t="s">
        <v>71</v>
      </c>
      <c r="B22" s="5">
        <v>824.0</v>
      </c>
      <c r="C22" s="10">
        <f t="shared" si="1"/>
        <v>700.4</v>
      </c>
      <c r="D22" s="25"/>
    </row>
    <row r="23">
      <c r="A23" s="8" t="s">
        <v>72</v>
      </c>
      <c r="B23" s="5">
        <v>834.0</v>
      </c>
      <c r="C23" s="10">
        <f t="shared" si="1"/>
        <v>708.9</v>
      </c>
      <c r="D23" s="25"/>
    </row>
    <row r="24">
      <c r="A24" s="8" t="s">
        <v>76</v>
      </c>
      <c r="B24" s="5">
        <v>940.0</v>
      </c>
      <c r="C24" s="10">
        <f t="shared" si="1"/>
        <v>799</v>
      </c>
      <c r="D24" s="25"/>
    </row>
    <row r="25">
      <c r="A25" s="8" t="s">
        <v>79</v>
      </c>
      <c r="B25" s="5">
        <v>790.0</v>
      </c>
      <c r="C25" s="10">
        <f t="shared" si="1"/>
        <v>671.5</v>
      </c>
      <c r="D25" s="25"/>
    </row>
    <row r="26">
      <c r="B26" s="14"/>
      <c r="D26" s="25"/>
    </row>
    <row r="27">
      <c r="B27" s="14"/>
      <c r="D27" s="25"/>
    </row>
    <row r="28">
      <c r="B28" s="14"/>
      <c r="D28" s="25"/>
    </row>
    <row r="29">
      <c r="B29" s="14"/>
      <c r="D29" s="25"/>
    </row>
    <row r="30">
      <c r="B30" s="14"/>
      <c r="D30" s="25"/>
    </row>
    <row r="31">
      <c r="D31" s="25"/>
    </row>
    <row r="32">
      <c r="A32" s="37">
        <f>AVERAGE($C$3:$C$25)</f>
        <v>520.6065217</v>
      </c>
      <c r="B32" s="5" t="s">
        <v>44</v>
      </c>
      <c r="D32" s="3" t="s">
        <v>82</v>
      </c>
      <c r="G32" s="3" t="s">
        <v>42</v>
      </c>
    </row>
    <row r="33">
      <c r="A33" s="37">
        <f>ROUND(AVERAGE($C$3:$C$25) -_xlfn.T.INV.2T(0.1, COUNT($C$3:$C$25)-1) *
(_xlfn.STDEV.S($C$3:$C$25) / SQRT(COUNT($C$3:$C$25))),0)</f>
        <v>463</v>
      </c>
      <c r="B33" s="5" t="s">
        <v>49</v>
      </c>
      <c r="D33" s="9">
        <v>150.0</v>
      </c>
      <c r="G33" s="10">
        <f t="shared" ref="G33:G35" si="2">A32-$D$33</f>
        <v>370.6065217</v>
      </c>
    </row>
    <row r="34">
      <c r="A34" s="37">
        <f>round(AVERAGE($C$3:$C$25) + _xlfn.T.INV.2T(0.05, COUNT($C$3:$C$25)-1) * (_xlfn.STDEV.S($C$3:$C$25) / SQRT(COUNT($C$3:$C$25)))
,0)</f>
        <v>591</v>
      </c>
      <c r="B34" s="5" t="s">
        <v>51</v>
      </c>
      <c r="G34" s="10">
        <f t="shared" si="2"/>
        <v>313</v>
      </c>
    </row>
    <row r="35">
      <c r="G35" s="10">
        <f t="shared" si="2"/>
        <v>441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</hyperlinks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7.38"/>
    <col customWidth="1" min="6" max="6" width="14.5"/>
  </cols>
  <sheetData>
    <row r="1">
      <c r="A1" s="2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6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6"/>
      <c r="F6" s="6"/>
      <c r="G6" s="4"/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11">
        <f>'1BR Comps'!$F$23*30</f>
        <v>10740</v>
      </c>
      <c r="I7" s="13">
        <f>'1BR Comps'!$F$21*30</f>
        <v>8710.615385</v>
      </c>
      <c r="J7" s="13">
        <f>'1BR Comps'!$F$22*30</f>
        <v>7050</v>
      </c>
      <c r="K7" s="15" t="s">
        <v>17</v>
      </c>
      <c r="L7" s="15">
        <f t="array" ref="L7:L11">SEQUENCE(5,1,1,1)</f>
        <v>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11">
        <f>'1BR Comps'!$F$23*30</f>
        <v>10740</v>
      </c>
      <c r="I8" s="13">
        <f>'1BR Comps'!$F$21*30</f>
        <v>8710.615385</v>
      </c>
      <c r="J8" s="13">
        <f>'1BR Comps'!$F$22*30</f>
        <v>7050</v>
      </c>
      <c r="K8" s="15" t="s">
        <v>17</v>
      </c>
      <c r="L8" s="16">
        <v>2.0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11">
        <f>'1BR Comps'!$F$23*30</f>
        <v>10740</v>
      </c>
      <c r="I9" s="13">
        <f>'1BR Comps'!$F$21*30</f>
        <v>8710.615385</v>
      </c>
      <c r="J9" s="13">
        <f>'1BR Comps'!$F$22*30</f>
        <v>7050</v>
      </c>
      <c r="K9" s="15" t="s">
        <v>17</v>
      </c>
      <c r="L9" s="16">
        <v>3.0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11">
        <f>'2BR Comps'!$G$35*30</f>
        <v>13230</v>
      </c>
      <c r="I10" s="13">
        <f>'2BR Comps'!$G$33*30</f>
        <v>11118.19565</v>
      </c>
      <c r="J10" s="13">
        <f>'2BR Comps'!$G$34*30</f>
        <v>9390</v>
      </c>
      <c r="K10" s="11" t="s">
        <v>28</v>
      </c>
      <c r="L10" s="16">
        <v>4.0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11">
        <f>'2BR Comps'!$G$35*30</f>
        <v>13230</v>
      </c>
      <c r="I11" s="13">
        <f>'2BR Comps'!$G$33*30</f>
        <v>11118.19565</v>
      </c>
      <c r="J11" s="13">
        <f>'2BR Comps'!$G$34*30</f>
        <v>9390</v>
      </c>
      <c r="K11" s="11" t="s">
        <v>28</v>
      </c>
      <c r="L11" s="16">
        <v>5.0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18">
        <f t="shared" ref="H13:J13" si="1">SUM(H$7:H$11)*12</f>
        <v>704160</v>
      </c>
      <c r="I13" s="18">
        <f t="shared" si="1"/>
        <v>580418.8495</v>
      </c>
      <c r="J13" s="18">
        <f t="shared" si="1"/>
        <v>479160</v>
      </c>
      <c r="K13" s="19" t="s">
        <v>35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</sheetData>
  <mergeCells count="2">
    <mergeCell ref="A1:Z3"/>
    <mergeCell ref="K13:L13"/>
  </mergeCells>
  <dataValidations>
    <dataValidation type="list" allowBlank="1" showErrorMessage="1" sqref="K7:K11">
      <formula1>"1Bd,2Bd,Studio"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A2" s="5" t="s">
        <v>4</v>
      </c>
      <c r="C2" s="5" t="s">
        <v>5</v>
      </c>
    </row>
    <row r="3">
      <c r="A3" s="5">
        <v>65000.0</v>
      </c>
      <c r="B3" s="8" t="s">
        <v>6</v>
      </c>
      <c r="C3" s="5">
        <v>26000.0</v>
      </c>
      <c r="D3" s="8" t="s">
        <v>12</v>
      </c>
    </row>
    <row r="4">
      <c r="A4" s="5">
        <v>27000.0</v>
      </c>
      <c r="B4" s="8" t="s">
        <v>15</v>
      </c>
      <c r="C4" s="5">
        <v>33000.0</v>
      </c>
      <c r="D4" s="17" t="s">
        <v>20</v>
      </c>
    </row>
    <row r="5">
      <c r="A5" s="5">
        <v>42000.0</v>
      </c>
      <c r="B5" s="8" t="s">
        <v>12</v>
      </c>
      <c r="C5" s="5">
        <v>24000.0</v>
      </c>
      <c r="D5" s="17" t="s">
        <v>24</v>
      </c>
    </row>
    <row r="6">
      <c r="A6" s="5">
        <v>87000.0</v>
      </c>
      <c r="B6" s="8" t="s">
        <v>30</v>
      </c>
      <c r="C6" s="5">
        <v>34000.0</v>
      </c>
      <c r="D6" s="8" t="s">
        <v>33</v>
      </c>
    </row>
    <row r="7">
      <c r="A7" s="5">
        <v>26000.0</v>
      </c>
      <c r="B7" s="8" t="s">
        <v>38</v>
      </c>
      <c r="C7" s="5">
        <v>33000.0</v>
      </c>
      <c r="D7" s="17" t="s">
        <v>45</v>
      </c>
    </row>
    <row r="8">
      <c r="A8" s="5">
        <v>55000.0</v>
      </c>
      <c r="B8" s="17" t="s">
        <v>48</v>
      </c>
      <c r="C8" s="5">
        <v>33000.0</v>
      </c>
      <c r="D8" s="17" t="s">
        <v>52</v>
      </c>
    </row>
    <row r="9">
      <c r="A9" s="5">
        <v>23000.0</v>
      </c>
      <c r="B9" s="8" t="s">
        <v>54</v>
      </c>
      <c r="C9" s="5">
        <v>33000.0</v>
      </c>
      <c r="D9" s="17" t="s">
        <v>56</v>
      </c>
    </row>
    <row r="10">
      <c r="A10" s="5">
        <v>4000.0</v>
      </c>
      <c r="B10" s="8" t="s">
        <v>58</v>
      </c>
      <c r="C10" s="5">
        <v>35000.0</v>
      </c>
      <c r="D10" s="17" t="s">
        <v>60</v>
      </c>
    </row>
    <row r="11">
      <c r="A11" s="5">
        <v>29000.0</v>
      </c>
      <c r="B11" s="17" t="s">
        <v>61</v>
      </c>
      <c r="C11" s="5">
        <v>38000.0</v>
      </c>
      <c r="D11" s="17" t="s">
        <v>63</v>
      </c>
    </row>
    <row r="12">
      <c r="A12" s="5">
        <v>25000.0</v>
      </c>
      <c r="B12" s="17" t="s">
        <v>65</v>
      </c>
      <c r="C12" s="5">
        <v>44000.0</v>
      </c>
      <c r="D12" s="17" t="s">
        <v>66</v>
      </c>
      <c r="J12" s="5" t="s">
        <v>68</v>
      </c>
    </row>
    <row r="13">
      <c r="A13" s="5">
        <v>36000.0</v>
      </c>
      <c r="B13" s="17" t="s">
        <v>69</v>
      </c>
    </row>
    <row r="14">
      <c r="A14" s="5">
        <f t="shared" ref="A14:A15" si="1">3800*12</f>
        <v>45600</v>
      </c>
      <c r="B14" s="17" t="s">
        <v>70</v>
      </c>
    </row>
    <row r="15">
      <c r="A15" s="22">
        <f t="shared" si="1"/>
        <v>45600</v>
      </c>
      <c r="B15" s="17" t="s">
        <v>73</v>
      </c>
    </row>
    <row r="16">
      <c r="A16" s="22">
        <f>4000*12</f>
        <v>48000</v>
      </c>
      <c r="B16" s="17" t="s">
        <v>77</v>
      </c>
      <c r="D16" s="22">
        <f>AVERAGE(C3:C12)</f>
        <v>33300</v>
      </c>
      <c r="E16" s="5" t="s">
        <v>44</v>
      </c>
    </row>
    <row r="17">
      <c r="A17" s="22">
        <f>3200*12</f>
        <v>38400</v>
      </c>
      <c r="B17" s="17" t="s">
        <v>81</v>
      </c>
      <c r="D17" s="22">
        <f>ROUND(AVERAGE(C3:C12) -_xlfn.T.INV.2T(0.1, COUNT(C3:C12)-1) *
(_xlfn.STDEV.S(C3:C12) / SQRT(COUNT($C$3:$C$12))),0)</f>
        <v>30066</v>
      </c>
      <c r="E17" s="5" t="s">
        <v>49</v>
      </c>
    </row>
    <row r="18">
      <c r="A18" s="5">
        <v>55000.0</v>
      </c>
      <c r="B18" s="17" t="s">
        <v>85</v>
      </c>
      <c r="D18" s="22">
        <f>round(AVERAGE(C$3:C$12) + _xlfn.T.INV.2T(0.05, COUNT(C$3:C$12)-1) * (_xlfn.STDEV.S(C$3:C$12) / SQRT(COUNT(C$3:C$12)))
,0)</f>
        <v>37291</v>
      </c>
      <c r="E18" s="5" t="s">
        <v>51</v>
      </c>
    </row>
    <row r="19">
      <c r="A19" s="5">
        <v>40000.0</v>
      </c>
      <c r="B19" s="17" t="s">
        <v>88</v>
      </c>
    </row>
    <row r="20">
      <c r="A20" s="5">
        <v>42000.0</v>
      </c>
      <c r="B20" s="17" t="s">
        <v>89</v>
      </c>
    </row>
    <row r="21">
      <c r="A21" s="5">
        <v>44600.0</v>
      </c>
      <c r="B21" s="17" t="s">
        <v>91</v>
      </c>
      <c r="D21" s="25">
        <f t="shared" ref="D21:D23" si="2">D16/12</f>
        <v>2775</v>
      </c>
      <c r="E21" s="5" t="s">
        <v>44</v>
      </c>
    </row>
    <row r="22">
      <c r="A22" s="5">
        <v>45600.0</v>
      </c>
      <c r="B22" s="17" t="s">
        <v>93</v>
      </c>
      <c r="D22" s="25">
        <f t="shared" si="2"/>
        <v>2505.5</v>
      </c>
      <c r="E22" s="5" t="s">
        <v>49</v>
      </c>
    </row>
    <row r="23">
      <c r="D23" s="25">
        <f t="shared" si="2"/>
        <v>3107.583333</v>
      </c>
      <c r="E23" s="5" t="s">
        <v>51</v>
      </c>
    </row>
    <row r="24">
      <c r="A24" s="22">
        <f>AVERAGE(A3:A22)</f>
        <v>41190</v>
      </c>
      <c r="B24" s="5" t="s">
        <v>44</v>
      </c>
    </row>
    <row r="25">
      <c r="A25" s="22">
        <f>ROUND(AVERAGE($A$3:$A$22) -_xlfn.T.INV.2T(0.1, COUNT($A$3:$A$22)-1) *
(_xlfn.STDEV.S($A$3:$A$22) / SQRT(COUNT($A$3:$A$22))),0)</f>
        <v>34459</v>
      </c>
      <c r="B25" s="5" t="s">
        <v>49</v>
      </c>
      <c r="D25" s="3" t="s">
        <v>94</v>
      </c>
      <c r="G25" s="3" t="s">
        <v>95</v>
      </c>
      <c r="I25" s="42">
        <v>0.2</v>
      </c>
      <c r="K25" s="3" t="s">
        <v>96</v>
      </c>
      <c r="M25" s="42">
        <v>0.55</v>
      </c>
      <c r="O25" s="3" t="s">
        <v>97</v>
      </c>
      <c r="Q25" s="42">
        <v>0.15</v>
      </c>
    </row>
    <row r="26">
      <c r="A26" s="22">
        <f>round(AVERAGE($A$3:$A$22) + _xlfn.T.INV.2T(0.05, COUNT($A$3:$A$22)-1) * (_xlfn.STDEV.S($A$3:$A$22) / SQRT(COUNT($A$3:$A$22)))
,0)</f>
        <v>49337</v>
      </c>
      <c r="B26" s="5" t="s">
        <v>51</v>
      </c>
      <c r="D26" s="10">
        <f t="shared" ref="D26:D28" si="3">D21/30</f>
        <v>92.5</v>
      </c>
      <c r="E26" s="5" t="s">
        <v>44</v>
      </c>
      <c r="G26" s="10">
        <f t="shared" ref="G26:G28" si="4">D26*(1+$F$36)</f>
        <v>111</v>
      </c>
      <c r="H26" s="5" t="s">
        <v>44</v>
      </c>
      <c r="K26" s="12">
        <f t="shared" ref="K26:K28" si="5">G26*(1+$J$36)</f>
        <v>172.05</v>
      </c>
      <c r="L26" s="5" t="s">
        <v>44</v>
      </c>
      <c r="O26" s="12">
        <f t="shared" ref="O26:O28" si="6">K26*(1+$N$36)</f>
        <v>197.8575</v>
      </c>
      <c r="P26" s="5" t="s">
        <v>44</v>
      </c>
    </row>
    <row r="27">
      <c r="D27" s="10">
        <f t="shared" si="3"/>
        <v>83.51666667</v>
      </c>
      <c r="E27" s="5" t="s">
        <v>49</v>
      </c>
      <c r="G27" s="10">
        <f t="shared" si="4"/>
        <v>100.22</v>
      </c>
      <c r="H27" s="5" t="s">
        <v>49</v>
      </c>
      <c r="K27" s="12">
        <f t="shared" si="5"/>
        <v>155.341</v>
      </c>
      <c r="L27" s="5" t="s">
        <v>49</v>
      </c>
      <c r="O27" s="12">
        <f t="shared" si="6"/>
        <v>178.64215</v>
      </c>
      <c r="P27" s="5" t="s">
        <v>49</v>
      </c>
    </row>
    <row r="28">
      <c r="A28" s="43"/>
      <c r="B28" s="43"/>
      <c r="C28" s="43"/>
      <c r="D28" s="44">
        <f t="shared" si="3"/>
        <v>103.5861111</v>
      </c>
      <c r="E28" s="45" t="s">
        <v>51</v>
      </c>
      <c r="F28" s="43"/>
      <c r="G28" s="44">
        <f t="shared" si="4"/>
        <v>124.3033333</v>
      </c>
      <c r="H28" s="45" t="s">
        <v>51</v>
      </c>
      <c r="I28" s="43"/>
      <c r="J28" s="43"/>
      <c r="K28" s="46">
        <f t="shared" si="5"/>
        <v>192.6701667</v>
      </c>
      <c r="L28" s="45" t="s">
        <v>51</v>
      </c>
      <c r="M28" s="43"/>
      <c r="N28" s="43"/>
      <c r="O28" s="46">
        <f t="shared" si="6"/>
        <v>221.5706917</v>
      </c>
      <c r="P28" s="45" t="s">
        <v>51</v>
      </c>
      <c r="Q28" s="43"/>
      <c r="R28" s="43"/>
      <c r="S28" s="43"/>
      <c r="T28" s="43"/>
      <c r="U28" s="43"/>
      <c r="V28" s="43"/>
      <c r="W28" s="43"/>
    </row>
    <row r="29">
      <c r="A29" s="37"/>
      <c r="B29" s="5"/>
    </row>
    <row r="30">
      <c r="A30" s="47" t="s">
        <v>4</v>
      </c>
      <c r="B30" s="5"/>
    </row>
    <row r="31">
      <c r="A31" s="37"/>
      <c r="B31" s="5"/>
    </row>
    <row r="32">
      <c r="A32" s="37">
        <f t="shared" ref="A32:A34" si="7">A24/12</f>
        <v>3432.5</v>
      </c>
      <c r="B32" s="5" t="s">
        <v>44</v>
      </c>
    </row>
    <row r="33">
      <c r="A33" s="37">
        <f t="shared" si="7"/>
        <v>2871.583333</v>
      </c>
      <c r="B33" s="5" t="s">
        <v>49</v>
      </c>
    </row>
    <row r="34">
      <c r="A34" s="37">
        <f t="shared" si="7"/>
        <v>4111.416667</v>
      </c>
      <c r="B34" s="5" t="s">
        <v>51</v>
      </c>
    </row>
    <row r="36">
      <c r="A36" s="3" t="s">
        <v>94</v>
      </c>
      <c r="D36" s="3" t="s">
        <v>95</v>
      </c>
      <c r="F36" s="42">
        <v>0.2</v>
      </c>
      <c r="H36" s="3" t="s">
        <v>96</v>
      </c>
      <c r="J36" s="42">
        <v>0.55</v>
      </c>
      <c r="L36" s="3" t="s">
        <v>97</v>
      </c>
      <c r="N36" s="42">
        <v>0.15</v>
      </c>
    </row>
    <row r="37">
      <c r="A37" s="10">
        <f t="shared" ref="A37:A39" si="8">A32/30</f>
        <v>114.4166667</v>
      </c>
      <c r="B37" s="5" t="s">
        <v>44</v>
      </c>
      <c r="D37" s="10">
        <f t="shared" ref="D37:D39" si="9">A37*(1+$F$36)</f>
        <v>137.3</v>
      </c>
      <c r="E37" s="5" t="s">
        <v>44</v>
      </c>
      <c r="H37" s="12">
        <f t="shared" ref="H37:H39" si="10">D37*(1+$J$36)</f>
        <v>212.815</v>
      </c>
      <c r="I37" s="5" t="s">
        <v>44</v>
      </c>
      <c r="L37" s="12">
        <f t="shared" ref="L37:L39" si="11">H37*(1+$N$36)</f>
        <v>244.73725</v>
      </c>
      <c r="M37" s="5" t="s">
        <v>44</v>
      </c>
    </row>
    <row r="38">
      <c r="A38" s="10">
        <f t="shared" si="8"/>
        <v>95.71944444</v>
      </c>
      <c r="B38" s="5" t="s">
        <v>49</v>
      </c>
      <c r="D38" s="10">
        <f t="shared" si="9"/>
        <v>114.8633333</v>
      </c>
      <c r="E38" s="5" t="s">
        <v>49</v>
      </c>
      <c r="H38" s="12">
        <f t="shared" si="10"/>
        <v>178.0381667</v>
      </c>
      <c r="I38" s="5" t="s">
        <v>49</v>
      </c>
      <c r="L38" s="12">
        <f t="shared" si="11"/>
        <v>204.7438917</v>
      </c>
      <c r="M38" s="5" t="s">
        <v>49</v>
      </c>
    </row>
    <row r="39">
      <c r="A39" s="10">
        <f t="shared" si="8"/>
        <v>137.0472222</v>
      </c>
      <c r="B39" s="5" t="s">
        <v>51</v>
      </c>
      <c r="D39" s="10">
        <f t="shared" si="9"/>
        <v>164.4566667</v>
      </c>
      <c r="E39" s="5" t="s">
        <v>51</v>
      </c>
      <c r="H39" s="12">
        <f t="shared" si="10"/>
        <v>254.9078333</v>
      </c>
      <c r="I39" s="5" t="s">
        <v>51</v>
      </c>
      <c r="L39" s="12">
        <f t="shared" si="11"/>
        <v>293.1440083</v>
      </c>
      <c r="M39" s="5" t="s">
        <v>51</v>
      </c>
    </row>
  </sheetData>
  <mergeCells count="8">
    <mergeCell ref="A36:B36"/>
    <mergeCell ref="D36:E36"/>
    <mergeCell ref="H36:I36"/>
    <mergeCell ref="L36:M36"/>
    <mergeCell ref="D25:E25"/>
    <mergeCell ref="G25:H25"/>
    <mergeCell ref="K25:L25"/>
    <mergeCell ref="O25:P25"/>
  </mergeCells>
  <hyperlinks>
    <hyperlink r:id="rId1" ref="B3"/>
    <hyperlink r:id="rId2" ref="D3"/>
    <hyperlink r:id="rId3" ref="B4"/>
    <hyperlink r:id="rId4" ref="D4"/>
    <hyperlink r:id="rId5" ref="B5"/>
    <hyperlink r:id="rId6" ref="D5"/>
    <hyperlink r:id="rId7" ref="B6"/>
    <hyperlink r:id="rId8" ref="D6"/>
    <hyperlink r:id="rId9" ref="B7"/>
    <hyperlink r:id="rId10" ref="D7"/>
    <hyperlink r:id="rId11" ref="B8"/>
    <hyperlink r:id="rId12" ref="D8"/>
    <hyperlink r:id="rId13" ref="B9"/>
    <hyperlink r:id="rId14" ref="D9"/>
    <hyperlink r:id="rId15" ref="B10"/>
    <hyperlink r:id="rId16" ref="D10"/>
    <hyperlink r:id="rId17" ref="B11"/>
    <hyperlink r:id="rId18" ref="D11"/>
    <hyperlink r:id="rId19" ref="B12"/>
    <hyperlink r:id="rId20" ref="D12"/>
    <hyperlink r:id="rId21" ref="B13"/>
    <hyperlink r:id="rId22" ref="B14"/>
    <hyperlink r:id="rId23" ref="B15"/>
    <hyperlink r:id="rId24" ref="B16"/>
    <hyperlink r:id="rId25" ref="B17"/>
    <hyperlink r:id="rId26" ref="B18"/>
    <hyperlink r:id="rId27" ref="B19"/>
    <hyperlink r:id="rId28" ref="B20"/>
    <hyperlink r:id="rId29" ref="B21"/>
    <hyperlink r:id="rId30" ref="B22"/>
  </hyperlinks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9" max="19" width="7.75"/>
    <col customWidth="1" min="20" max="20" width="40.63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4"/>
      <c r="L1" s="24"/>
      <c r="M1" s="24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>
      <c r="B3" s="23"/>
      <c r="C3" s="23"/>
      <c r="D3" s="23"/>
      <c r="E3" s="23"/>
      <c r="F3" s="23"/>
      <c r="G3" s="23"/>
      <c r="H3" s="23"/>
      <c r="I3" s="23"/>
      <c r="J3" s="23"/>
      <c r="K3" s="24"/>
      <c r="L3" s="24"/>
      <c r="M3" s="24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26"/>
      <c r="L4" s="26"/>
      <c r="M4" s="2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6"/>
      <c r="L5" s="6"/>
      <c r="M5" s="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6"/>
      <c r="L7" s="6"/>
      <c r="M7" s="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6"/>
      <c r="L8" s="6"/>
      <c r="M8" s="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"/>
      <c r="B9" s="4"/>
      <c r="D9" s="27"/>
      <c r="E9" s="27"/>
      <c r="F9" s="28"/>
      <c r="G9" s="28" t="s">
        <v>74</v>
      </c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"/>
      <c r="B10" s="4"/>
      <c r="C10" s="4"/>
      <c r="D10" s="4"/>
      <c r="E10" s="4"/>
      <c r="F10" s="29"/>
      <c r="G10" s="29" t="s">
        <v>9</v>
      </c>
      <c r="K10" s="30"/>
      <c r="L10" s="30" t="s">
        <v>8</v>
      </c>
      <c r="O10" s="31"/>
      <c r="P10" s="31" t="s">
        <v>7</v>
      </c>
      <c r="T10" s="32" t="s">
        <v>75</v>
      </c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"/>
      <c r="B11" s="4"/>
      <c r="C11" s="4"/>
      <c r="D11" s="4"/>
      <c r="E11" s="4"/>
      <c r="F11" s="33">
        <f>'LTR Financial Study'!J13</f>
        <v>479160</v>
      </c>
      <c r="K11" s="33"/>
      <c r="L11" s="33">
        <f>'LTR Financial Study'!I13</f>
        <v>580418.8495</v>
      </c>
      <c r="O11" s="33"/>
      <c r="P11" s="33">
        <f>'LTR Financial Study'!H13</f>
        <v>704160</v>
      </c>
      <c r="T11" s="32" t="s">
        <v>78</v>
      </c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"/>
      <c r="B12" s="4"/>
      <c r="C12" s="34"/>
      <c r="D12" s="34"/>
      <c r="E12" s="34"/>
      <c r="F12" s="35">
        <v>0.6</v>
      </c>
      <c r="G12" s="35">
        <v>0.7</v>
      </c>
      <c r="H12" s="35">
        <v>0.8</v>
      </c>
      <c r="I12" s="36">
        <v>0.9</v>
      </c>
      <c r="K12" s="36">
        <v>0.6</v>
      </c>
      <c r="L12" s="36">
        <v>0.7</v>
      </c>
      <c r="M12" s="36">
        <v>0.8</v>
      </c>
      <c r="N12" s="36">
        <v>0.9</v>
      </c>
      <c r="O12" s="36">
        <v>0.6</v>
      </c>
      <c r="P12" s="36">
        <v>0.7</v>
      </c>
      <c r="Q12" s="36">
        <v>0.8</v>
      </c>
      <c r="R12" s="36">
        <v>0.9</v>
      </c>
      <c r="T12" s="32" t="s">
        <v>80</v>
      </c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"/>
      <c r="B13" s="4"/>
      <c r="C13" s="4"/>
      <c r="D13" s="4"/>
      <c r="E13" s="4"/>
      <c r="F13" s="33">
        <f>F12*F11</f>
        <v>287496</v>
      </c>
      <c r="G13" s="33">
        <f>F11*G12</f>
        <v>335412</v>
      </c>
      <c r="H13" s="33">
        <f>F11*H12</f>
        <v>383328</v>
      </c>
      <c r="I13" s="33">
        <f>F11*I12</f>
        <v>431244</v>
      </c>
      <c r="K13" s="33">
        <f>L11*K12</f>
        <v>348251.3097</v>
      </c>
      <c r="L13" s="33">
        <f>L11*L12</f>
        <v>406293.1946</v>
      </c>
      <c r="M13" s="33">
        <f>L11*M12</f>
        <v>464335.0796</v>
      </c>
      <c r="N13" s="33">
        <f>L11*N12</f>
        <v>522376.9645</v>
      </c>
      <c r="O13" s="33">
        <f>P11*O12</f>
        <v>422496</v>
      </c>
      <c r="P13" s="33">
        <f>P11*P12</f>
        <v>492912</v>
      </c>
      <c r="Q13" s="33">
        <f>P11*Q12</f>
        <v>563328</v>
      </c>
      <c r="R13" s="33">
        <f>P11*R12</f>
        <v>633744</v>
      </c>
      <c r="T13" s="32" t="s">
        <v>83</v>
      </c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"/>
      <c r="B14" s="4"/>
      <c r="C14" s="4"/>
      <c r="D14" s="4"/>
      <c r="E14" s="4"/>
      <c r="F14" s="33">
        <f t="shared" ref="F14:I14" si="1">F13*0.85</f>
        <v>244371.6</v>
      </c>
      <c r="G14" s="33">
        <f t="shared" si="1"/>
        <v>285100.2</v>
      </c>
      <c r="H14" s="33">
        <f t="shared" si="1"/>
        <v>325828.8</v>
      </c>
      <c r="I14" s="33">
        <f t="shared" si="1"/>
        <v>366557.4</v>
      </c>
      <c r="K14" s="33">
        <f t="shared" ref="K14:R14" si="2">K13*0.85</f>
        <v>296013.6132</v>
      </c>
      <c r="L14" s="33">
        <f t="shared" si="2"/>
        <v>345349.2155</v>
      </c>
      <c r="M14" s="33">
        <f t="shared" si="2"/>
        <v>394684.8177</v>
      </c>
      <c r="N14" s="33">
        <f t="shared" si="2"/>
        <v>444020.4199</v>
      </c>
      <c r="O14" s="33">
        <f t="shared" si="2"/>
        <v>359121.6</v>
      </c>
      <c r="P14" s="33">
        <f t="shared" si="2"/>
        <v>418975.2</v>
      </c>
      <c r="Q14" s="33">
        <f t="shared" si="2"/>
        <v>478828.8</v>
      </c>
      <c r="R14" s="33">
        <f t="shared" si="2"/>
        <v>538682.4</v>
      </c>
      <c r="T14" s="32" t="s">
        <v>84</v>
      </c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"/>
      <c r="B15" s="4"/>
      <c r="C15" s="4"/>
      <c r="D15" s="4"/>
      <c r="E15" s="4"/>
      <c r="F15" s="33">
        <f t="shared" ref="F15:I15" si="3">F14*0.85</f>
        <v>207715.86</v>
      </c>
      <c r="G15" s="33">
        <f t="shared" si="3"/>
        <v>242335.17</v>
      </c>
      <c r="H15" s="33">
        <f t="shared" si="3"/>
        <v>276954.48</v>
      </c>
      <c r="I15" s="33">
        <f t="shared" si="3"/>
        <v>311573.79</v>
      </c>
      <c r="K15" s="33">
        <f t="shared" ref="K15:R15" si="4">K14*0.85</f>
        <v>251611.5713</v>
      </c>
      <c r="L15" s="33">
        <f t="shared" si="4"/>
        <v>293546.8331</v>
      </c>
      <c r="M15" s="33">
        <f t="shared" si="4"/>
        <v>335482.095</v>
      </c>
      <c r="N15" s="33">
        <f t="shared" si="4"/>
        <v>377417.3569</v>
      </c>
      <c r="O15" s="33">
        <f t="shared" si="4"/>
        <v>305253.36</v>
      </c>
      <c r="P15" s="33">
        <f t="shared" si="4"/>
        <v>356128.92</v>
      </c>
      <c r="Q15" s="33">
        <f t="shared" si="4"/>
        <v>407004.48</v>
      </c>
      <c r="R15" s="33">
        <f t="shared" si="4"/>
        <v>457880.04</v>
      </c>
      <c r="T15" s="32" t="s">
        <v>86</v>
      </c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"/>
      <c r="B16" s="4"/>
      <c r="C16" s="4"/>
      <c r="D16" s="4"/>
      <c r="E16" s="4"/>
      <c r="F16" s="33">
        <f t="shared" ref="F16:I16" si="5">F15*(1-$T$17)</f>
        <v>159941.2122</v>
      </c>
      <c r="G16" s="33">
        <f t="shared" si="5"/>
        <v>186598.0809</v>
      </c>
      <c r="H16" s="33">
        <f t="shared" si="5"/>
        <v>213254.9496</v>
      </c>
      <c r="I16" s="33">
        <f t="shared" si="5"/>
        <v>239911.8183</v>
      </c>
      <c r="K16" s="33">
        <f t="shared" ref="K16:R16" si="6">K15*(1-$T$17)</f>
        <v>193740.9099</v>
      </c>
      <c r="L16" s="33">
        <f t="shared" si="6"/>
        <v>226031.0615</v>
      </c>
      <c r="M16" s="33">
        <f t="shared" si="6"/>
        <v>258321.2132</v>
      </c>
      <c r="N16" s="33">
        <f t="shared" si="6"/>
        <v>290611.3648</v>
      </c>
      <c r="O16" s="33">
        <f t="shared" si="6"/>
        <v>235045.0872</v>
      </c>
      <c r="P16" s="33">
        <f t="shared" si="6"/>
        <v>274219.2684</v>
      </c>
      <c r="Q16" s="33">
        <f t="shared" si="6"/>
        <v>313393.4496</v>
      </c>
      <c r="R16" s="33">
        <f t="shared" si="6"/>
        <v>352567.6308</v>
      </c>
      <c r="T16" s="32" t="s">
        <v>87</v>
      </c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"/>
      <c r="B17" s="4"/>
      <c r="C17" s="4"/>
      <c r="D17" s="4"/>
      <c r="E17" s="4"/>
      <c r="T17" s="38">
        <v>0.23</v>
      </c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/>
      <c r="B18" s="4"/>
      <c r="C18" s="4"/>
      <c r="D18" s="4"/>
      <c r="E18" s="4"/>
      <c r="F18" s="33">
        <f t="shared" ref="F18:I18" si="7">F16/12/5</f>
        <v>2665.68687</v>
      </c>
      <c r="G18" s="33">
        <f t="shared" si="7"/>
        <v>3109.968015</v>
      </c>
      <c r="H18" s="33">
        <f t="shared" si="7"/>
        <v>3554.24916</v>
      </c>
      <c r="I18" s="33">
        <f t="shared" si="7"/>
        <v>3998.530305</v>
      </c>
      <c r="K18" s="33">
        <f t="shared" ref="K18:R18" si="8">K16/12/5</f>
        <v>3229.015164</v>
      </c>
      <c r="L18" s="33">
        <f t="shared" si="8"/>
        <v>3767.184359</v>
      </c>
      <c r="M18" s="33">
        <f t="shared" si="8"/>
        <v>4305.353553</v>
      </c>
      <c r="N18" s="33">
        <f t="shared" si="8"/>
        <v>4843.522747</v>
      </c>
      <c r="O18" s="33">
        <f t="shared" si="8"/>
        <v>3917.41812</v>
      </c>
      <c r="P18" s="33">
        <f t="shared" si="8"/>
        <v>4570.32114</v>
      </c>
      <c r="Q18" s="33">
        <f t="shared" si="8"/>
        <v>5223.22416</v>
      </c>
      <c r="R18" s="33">
        <f t="shared" si="8"/>
        <v>5876.12718</v>
      </c>
      <c r="T18" s="32" t="s">
        <v>90</v>
      </c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"/>
      <c r="C19" s="4"/>
      <c r="D19" s="4"/>
      <c r="E19" s="4"/>
      <c r="F19" s="33">
        <f t="shared" ref="F19:I19" si="9">F18*12</f>
        <v>31988.24244</v>
      </c>
      <c r="G19" s="33">
        <f t="shared" si="9"/>
        <v>37319.61618</v>
      </c>
      <c r="H19" s="33">
        <f t="shared" si="9"/>
        <v>42650.98992</v>
      </c>
      <c r="I19" s="33">
        <f t="shared" si="9"/>
        <v>47982.36366</v>
      </c>
      <c r="K19" s="33">
        <f t="shared" ref="K19:R19" si="10">K18*12</f>
        <v>38748.18197</v>
      </c>
      <c r="L19" s="33">
        <f t="shared" si="10"/>
        <v>45206.2123</v>
      </c>
      <c r="M19" s="33">
        <f t="shared" si="10"/>
        <v>51664.24263</v>
      </c>
      <c r="N19" s="33">
        <f t="shared" si="10"/>
        <v>58122.27296</v>
      </c>
      <c r="O19" s="33">
        <f t="shared" si="10"/>
        <v>47009.01744</v>
      </c>
      <c r="P19" s="33">
        <f t="shared" si="10"/>
        <v>54843.85368</v>
      </c>
      <c r="Q19" s="33">
        <f t="shared" si="10"/>
        <v>62678.68992</v>
      </c>
      <c r="R19" s="33">
        <f t="shared" si="10"/>
        <v>70513.52616</v>
      </c>
      <c r="T19" s="32" t="s">
        <v>92</v>
      </c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/>
      <c r="B27" s="4"/>
      <c r="C27" s="4"/>
      <c r="D27" s="4"/>
      <c r="E27" s="4"/>
      <c r="F27" s="4"/>
      <c r="G27" s="39"/>
      <c r="H27" s="40"/>
      <c r="I27" s="3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"/>
      <c r="C28" s="4"/>
      <c r="D28" s="4"/>
      <c r="E28" s="4"/>
      <c r="F28" s="4"/>
      <c r="G28" s="41"/>
      <c r="I28" s="4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"/>
      <c r="C29" s="4"/>
      <c r="D29" s="4"/>
      <c r="E29" s="4"/>
      <c r="F29" s="4"/>
      <c r="G29" s="41"/>
      <c r="I29" s="4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"/>
      <c r="C30" s="4"/>
      <c r="D30" s="4"/>
      <c r="E30" s="4"/>
      <c r="F30" s="4"/>
      <c r="G30" s="41"/>
      <c r="I30" s="4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4"/>
      <c r="E31" s="4"/>
      <c r="F31" s="4"/>
      <c r="G31" s="41"/>
      <c r="I31" s="4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4"/>
      <c r="E32" s="4"/>
      <c r="F32" s="4"/>
      <c r="G32" s="4"/>
      <c r="I32" s="4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4"/>
      <c r="E33" s="4"/>
      <c r="F33" s="4"/>
      <c r="G33" s="4"/>
      <c r="H33" s="4"/>
      <c r="I33" s="4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4"/>
      <c r="E34" s="4"/>
      <c r="F34" s="4"/>
      <c r="G34" s="4"/>
      <c r="H34" s="4"/>
      <c r="I34" s="4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4"/>
      <c r="E35" s="4"/>
      <c r="F35" s="4"/>
      <c r="G35" s="4"/>
      <c r="H35" s="4"/>
      <c r="I35" s="4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22">
    <mergeCell ref="A1:A3"/>
    <mergeCell ref="G9:T9"/>
    <mergeCell ref="G10:J10"/>
    <mergeCell ref="L10:N10"/>
    <mergeCell ref="P10:S10"/>
    <mergeCell ref="L11:N11"/>
    <mergeCell ref="P11:S11"/>
    <mergeCell ref="R14:S14"/>
    <mergeCell ref="R15:S15"/>
    <mergeCell ref="R13:S13"/>
    <mergeCell ref="R16:S16"/>
    <mergeCell ref="I18:J18"/>
    <mergeCell ref="R18:S18"/>
    <mergeCell ref="I19:J19"/>
    <mergeCell ref="R19:S19"/>
    <mergeCell ref="F11:J11"/>
    <mergeCell ref="I12:J12"/>
    <mergeCell ref="R12:S12"/>
    <mergeCell ref="I13:J13"/>
    <mergeCell ref="I14:J14"/>
    <mergeCell ref="I15:J15"/>
    <mergeCell ref="I16:J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0.25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23"/>
      <c r="B1" s="23"/>
      <c r="C1" s="23"/>
      <c r="D1" s="23"/>
      <c r="E1" s="23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>
      <c r="B3" s="23"/>
      <c r="C3" s="23"/>
      <c r="D3" s="23"/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>
      <c r="A4" s="4"/>
      <c r="B4" s="4"/>
      <c r="C4" s="4"/>
      <c r="D4" s="4"/>
      <c r="E4" s="4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ht="22.5" customHeight="1">
      <c r="A5" s="4"/>
      <c r="B5" s="4"/>
      <c r="C5" s="4"/>
      <c r="D5" s="4"/>
      <c r="E5" s="4"/>
      <c r="F5" s="48"/>
      <c r="G5" s="48"/>
      <c r="H5" s="48"/>
      <c r="I5" s="48"/>
      <c r="J5" s="48"/>
      <c r="K5" s="48"/>
      <c r="L5" s="48"/>
      <c r="M5" s="48"/>
      <c r="N5" s="48"/>
      <c r="O5" s="49" t="s">
        <v>98</v>
      </c>
      <c r="P5" s="49" t="s">
        <v>10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4"/>
      <c r="B6" s="4"/>
      <c r="C6" s="4"/>
      <c r="D6" s="4"/>
      <c r="E6" s="4"/>
      <c r="F6" s="50"/>
      <c r="G6" s="50"/>
      <c r="H6" s="50"/>
      <c r="I6" s="50"/>
      <c r="J6" s="50"/>
      <c r="K6" s="50"/>
      <c r="L6" s="50"/>
      <c r="M6" s="50"/>
      <c r="N6" s="50"/>
      <c r="O6" s="51">
        <v>4.0</v>
      </c>
      <c r="P6" s="52" t="s">
        <v>17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4"/>
      <c r="B7" s="4"/>
      <c r="C7" s="4"/>
      <c r="D7" s="4"/>
      <c r="E7" s="4"/>
      <c r="F7" s="50"/>
      <c r="G7" s="50"/>
      <c r="H7" s="50"/>
      <c r="I7" s="50"/>
      <c r="J7" s="50"/>
      <c r="K7" s="50"/>
      <c r="L7" s="50"/>
      <c r="M7" s="50"/>
      <c r="N7" s="50"/>
      <c r="O7" s="53">
        <v>2.0</v>
      </c>
      <c r="P7" s="54" t="s">
        <v>99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4"/>
      <c r="B8" s="4"/>
      <c r="C8" s="4"/>
      <c r="D8" s="4"/>
      <c r="E8" s="4"/>
      <c r="F8" s="50"/>
      <c r="G8" s="50"/>
      <c r="H8" s="50"/>
      <c r="I8" s="50"/>
      <c r="J8" s="50"/>
      <c r="K8" s="50"/>
      <c r="L8" s="50"/>
      <c r="M8" s="50"/>
      <c r="N8" s="50"/>
      <c r="O8" s="55">
        <v>3.0</v>
      </c>
      <c r="P8" s="56" t="s">
        <v>28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4"/>
      <c r="B10" s="4"/>
      <c r="C10" s="4"/>
      <c r="D10" s="4"/>
      <c r="E10" s="4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4"/>
      <c r="B11" s="4"/>
      <c r="C11" s="4"/>
      <c r="D11" s="4"/>
      <c r="E11" s="4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4"/>
      <c r="B12" s="4"/>
      <c r="D12" s="27"/>
      <c r="E12" s="27"/>
      <c r="F12" s="57"/>
      <c r="G12" s="57"/>
      <c r="H12" s="57"/>
      <c r="I12" s="57"/>
      <c r="J12" s="57"/>
      <c r="K12" s="57"/>
      <c r="L12" s="58" t="s">
        <v>100</v>
      </c>
      <c r="Y12" s="59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4"/>
      <c r="B13" s="4"/>
      <c r="C13" s="4"/>
      <c r="D13" s="4"/>
      <c r="E13" s="4"/>
      <c r="F13" s="29" t="s">
        <v>9</v>
      </c>
      <c r="L13" s="30" t="s">
        <v>8</v>
      </c>
      <c r="R13" s="31" t="s">
        <v>7</v>
      </c>
      <c r="X13" s="32" t="s">
        <v>75</v>
      </c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4"/>
      <c r="B14" s="4"/>
      <c r="C14" s="4"/>
      <c r="D14" s="4"/>
      <c r="E14" s="4"/>
      <c r="F14" s="60" t="str">
        <f>'STR Financial Study'!J60</f>
        <v>#REF!</v>
      </c>
      <c r="L14" s="60" t="str">
        <f>'STR Financial Study'!I60</f>
        <v>#REF!</v>
      </c>
      <c r="R14" s="60" t="str">
        <f>'STR Financial Study'!H60</f>
        <v>#REF!</v>
      </c>
      <c r="X14" s="32" t="s">
        <v>78</v>
      </c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4"/>
      <c r="B15" s="4"/>
      <c r="C15" s="34"/>
      <c r="D15" s="34"/>
      <c r="E15" s="34"/>
      <c r="F15" s="36">
        <v>0.4</v>
      </c>
      <c r="G15" s="36">
        <v>0.5</v>
      </c>
      <c r="H15" s="36">
        <v>0.6</v>
      </c>
      <c r="I15" s="36">
        <v>0.7</v>
      </c>
      <c r="J15" s="36">
        <v>0.8</v>
      </c>
      <c r="K15" s="36">
        <v>0.9</v>
      </c>
      <c r="L15" s="36">
        <v>0.4</v>
      </c>
      <c r="M15" s="36">
        <v>0.5</v>
      </c>
      <c r="N15" s="36">
        <v>0.6</v>
      </c>
      <c r="O15" s="36">
        <v>0.7</v>
      </c>
      <c r="P15" s="36">
        <v>0.8</v>
      </c>
      <c r="Q15" s="36">
        <v>0.9</v>
      </c>
      <c r="R15" s="61">
        <v>0.4</v>
      </c>
      <c r="S15" s="61">
        <v>0.5</v>
      </c>
      <c r="T15" s="61">
        <v>0.6</v>
      </c>
      <c r="U15" s="61">
        <v>0.7</v>
      </c>
      <c r="V15" s="61">
        <v>0.8</v>
      </c>
      <c r="W15" s="61">
        <v>0.9</v>
      </c>
      <c r="X15" s="32" t="s">
        <v>80</v>
      </c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4"/>
      <c r="B16" s="4"/>
      <c r="C16" s="4"/>
      <c r="D16" s="4"/>
      <c r="E16" s="4"/>
      <c r="F16" s="60" t="str">
        <f>F14*F15</f>
        <v>#REF!</v>
      </c>
      <c r="G16" s="60" t="str">
        <f>F14*G15</f>
        <v>#REF!</v>
      </c>
      <c r="H16" s="60" t="str">
        <f>F14*H15</f>
        <v>#REF!</v>
      </c>
      <c r="I16" s="60" t="str">
        <f>F14*I15</f>
        <v>#REF!</v>
      </c>
      <c r="J16" s="60" t="str">
        <f>F14*J15</f>
        <v>#REF!</v>
      </c>
      <c r="K16" s="60" t="str">
        <f>F14*K15</f>
        <v>#REF!</v>
      </c>
      <c r="L16" s="60" t="str">
        <f>L14*L15</f>
        <v>#REF!</v>
      </c>
      <c r="M16" s="60" t="str">
        <f>L14*M15</f>
        <v>#REF!</v>
      </c>
      <c r="N16" s="60" t="str">
        <f>L14*N15</f>
        <v>#REF!</v>
      </c>
      <c r="O16" s="60" t="str">
        <f>L14*O15</f>
        <v>#REF!</v>
      </c>
      <c r="P16" s="60" t="str">
        <f>L14*P15</f>
        <v>#REF!</v>
      </c>
      <c r="Q16" s="60" t="str">
        <f>L14*Q15</f>
        <v>#REF!</v>
      </c>
      <c r="R16" s="60" t="str">
        <f>R14*R15</f>
        <v>#REF!</v>
      </c>
      <c r="S16" s="60" t="str">
        <f>R14*S15</f>
        <v>#REF!</v>
      </c>
      <c r="T16" s="60" t="str">
        <f>R14*T15</f>
        <v>#REF!</v>
      </c>
      <c r="U16" s="60" t="str">
        <f>R14*U15</f>
        <v>#REF!</v>
      </c>
      <c r="V16" s="60" t="str">
        <f>R14*V15</f>
        <v>#REF!</v>
      </c>
      <c r="W16" s="60" t="str">
        <f>R14*W15</f>
        <v>#REF!</v>
      </c>
      <c r="X16" s="32" t="s">
        <v>101</v>
      </c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4"/>
      <c r="B17" s="4"/>
      <c r="C17" s="4"/>
      <c r="D17" s="4"/>
      <c r="E17" s="4"/>
      <c r="F17" s="62" t="s">
        <v>102</v>
      </c>
      <c r="G17" s="62" t="s">
        <v>102</v>
      </c>
      <c r="H17" s="62" t="s">
        <v>102</v>
      </c>
      <c r="I17" s="62" t="s">
        <v>102</v>
      </c>
      <c r="J17" s="62" t="s">
        <v>102</v>
      </c>
      <c r="K17" s="62" t="s">
        <v>102</v>
      </c>
      <c r="L17" s="62" t="s">
        <v>102</v>
      </c>
      <c r="M17" s="62" t="s">
        <v>102</v>
      </c>
      <c r="N17" s="62" t="s">
        <v>102</v>
      </c>
      <c r="O17" s="62" t="s">
        <v>102</v>
      </c>
      <c r="P17" s="62" t="s">
        <v>102</v>
      </c>
      <c r="Q17" s="62" t="s">
        <v>102</v>
      </c>
      <c r="R17" s="62" t="s">
        <v>102</v>
      </c>
      <c r="S17" s="62" t="s">
        <v>102</v>
      </c>
      <c r="T17" s="62" t="s">
        <v>102</v>
      </c>
      <c r="U17" s="62" t="s">
        <v>102</v>
      </c>
      <c r="V17" s="62" t="s">
        <v>102</v>
      </c>
      <c r="W17" s="62" t="s">
        <v>102</v>
      </c>
      <c r="X17" s="32" t="s">
        <v>103</v>
      </c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4"/>
      <c r="B18" s="4"/>
      <c r="C18" s="4"/>
      <c r="D18" s="4"/>
      <c r="E18" s="4"/>
      <c r="F18" s="62">
        <v>265732.0</v>
      </c>
      <c r="G18" s="62">
        <v>332164.0</v>
      </c>
      <c r="H18" s="62">
        <v>398598.0</v>
      </c>
      <c r="I18" s="62">
        <v>465030.0</v>
      </c>
      <c r="J18" s="62">
        <v>531464.0</v>
      </c>
      <c r="K18" s="62">
        <v>597897.0</v>
      </c>
      <c r="L18" s="62">
        <v>323052.0</v>
      </c>
      <c r="M18" s="62">
        <v>403815.0</v>
      </c>
      <c r="N18" s="62">
        <v>484578.0</v>
      </c>
      <c r="O18" s="62">
        <v>565340.0</v>
      </c>
      <c r="P18" s="62">
        <v>646103.0</v>
      </c>
      <c r="Q18" s="62">
        <v>726866.0</v>
      </c>
      <c r="R18" s="62">
        <v>379906.0</v>
      </c>
      <c r="S18" s="62">
        <v>474883.0</v>
      </c>
      <c r="T18" s="62">
        <v>569860.0</v>
      </c>
      <c r="U18" s="62">
        <v>664836.0</v>
      </c>
      <c r="V18" s="62">
        <v>759813.0</v>
      </c>
      <c r="W18" s="62">
        <v>854790.0</v>
      </c>
      <c r="X18" s="32" t="s">
        <v>104</v>
      </c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4"/>
      <c r="B19" s="4"/>
      <c r="C19" s="4"/>
      <c r="D19" s="4"/>
      <c r="E19" s="4"/>
      <c r="F19" s="62" t="s">
        <v>102</v>
      </c>
      <c r="G19" s="62" t="s">
        <v>102</v>
      </c>
      <c r="H19" s="62" t="s">
        <v>102</v>
      </c>
      <c r="I19" s="62" t="s">
        <v>102</v>
      </c>
      <c r="J19" s="62" t="s">
        <v>102</v>
      </c>
      <c r="K19" s="62" t="s">
        <v>102</v>
      </c>
      <c r="L19" s="62" t="s">
        <v>102</v>
      </c>
      <c r="M19" s="62" t="s">
        <v>102</v>
      </c>
      <c r="N19" s="62" t="s">
        <v>102</v>
      </c>
      <c r="O19" s="62" t="s">
        <v>102</v>
      </c>
      <c r="P19" s="62" t="s">
        <v>102</v>
      </c>
      <c r="Q19" s="62" t="s">
        <v>102</v>
      </c>
      <c r="R19" s="62" t="s">
        <v>102</v>
      </c>
      <c r="S19" s="62" t="s">
        <v>102</v>
      </c>
      <c r="T19" s="62" t="s">
        <v>102</v>
      </c>
      <c r="U19" s="62" t="s">
        <v>102</v>
      </c>
      <c r="V19" s="62" t="s">
        <v>102</v>
      </c>
      <c r="W19" s="62" t="s">
        <v>102</v>
      </c>
      <c r="X19" s="32" t="s">
        <v>103</v>
      </c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4"/>
      <c r="B20" s="4"/>
      <c r="C20" s="4"/>
      <c r="D20" s="4"/>
      <c r="E20" s="4"/>
      <c r="F20" s="62">
        <v>232515.0</v>
      </c>
      <c r="G20" s="62">
        <v>290644.0</v>
      </c>
      <c r="H20" s="62">
        <v>348773.0</v>
      </c>
      <c r="I20" s="62">
        <v>406901.0</v>
      </c>
      <c r="J20" s="62">
        <v>465031.0</v>
      </c>
      <c r="K20" s="62">
        <v>523159.0</v>
      </c>
      <c r="L20" s="62">
        <v>282679.0</v>
      </c>
      <c r="M20" s="62">
        <v>353338.0</v>
      </c>
      <c r="N20" s="62">
        <v>424005.0</v>
      </c>
      <c r="O20" s="62">
        <v>494673.0</v>
      </c>
      <c r="P20" s="62">
        <v>565341.0</v>
      </c>
      <c r="Q20" s="62">
        <v>636008.0</v>
      </c>
      <c r="R20" s="62">
        <v>332418.0</v>
      </c>
      <c r="S20" s="62">
        <v>415523.0</v>
      </c>
      <c r="T20" s="62">
        <v>498627.0</v>
      </c>
      <c r="U20" s="62">
        <v>581732.0</v>
      </c>
      <c r="V20" s="62">
        <v>664836.0</v>
      </c>
      <c r="W20" s="62">
        <v>747941.0</v>
      </c>
      <c r="X20" s="32" t="s">
        <v>105</v>
      </c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>
      <c r="A21" s="4"/>
      <c r="B21" s="4"/>
      <c r="C21" s="4"/>
      <c r="D21" s="4"/>
      <c r="E21" s="4"/>
      <c r="F21" s="62" t="s">
        <v>102</v>
      </c>
      <c r="G21" s="62" t="s">
        <v>102</v>
      </c>
      <c r="H21" s="62" t="s">
        <v>102</v>
      </c>
      <c r="I21" s="62" t="s">
        <v>102</v>
      </c>
      <c r="J21" s="62" t="s">
        <v>102</v>
      </c>
      <c r="K21" s="62" t="s">
        <v>102</v>
      </c>
      <c r="L21" s="62" t="s">
        <v>102</v>
      </c>
      <c r="M21" s="62" t="s">
        <v>102</v>
      </c>
      <c r="N21" s="62" t="s">
        <v>102</v>
      </c>
      <c r="O21" s="62" t="s">
        <v>102</v>
      </c>
      <c r="P21" s="62" t="s">
        <v>102</v>
      </c>
      <c r="Q21" s="62" t="s">
        <v>102</v>
      </c>
      <c r="R21" s="62" t="s">
        <v>102</v>
      </c>
      <c r="S21" s="62" t="s">
        <v>102</v>
      </c>
      <c r="T21" s="62" t="s">
        <v>102</v>
      </c>
      <c r="U21" s="62" t="s">
        <v>102</v>
      </c>
      <c r="V21" s="62" t="s">
        <v>102</v>
      </c>
      <c r="W21" s="62" t="s">
        <v>102</v>
      </c>
      <c r="X21" s="32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63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>
      <c r="A23" s="4"/>
      <c r="B23" s="4"/>
      <c r="C23" s="4"/>
      <c r="D23" s="4"/>
      <c r="E23" s="4"/>
      <c r="F23" s="4"/>
      <c r="G23" s="4"/>
      <c r="H23" s="4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</row>
  </sheetData>
  <mergeCells count="8">
    <mergeCell ref="A1:A3"/>
    <mergeCell ref="L12:X12"/>
    <mergeCell ref="F13:K13"/>
    <mergeCell ref="L13:Q13"/>
    <mergeCell ref="R13:W13"/>
    <mergeCell ref="F14:K14"/>
    <mergeCell ref="L14:Q14"/>
    <mergeCell ref="R14:W14"/>
  </mergeCells>
  <dataValidations>
    <dataValidation type="list" allowBlank="1" showErrorMessage="1" sqref="P7">
      <formula1>"Studio,1Bd,2Bd"</formula1>
    </dataValidation>
    <dataValidation type="list" allowBlank="1" showErrorMessage="1" sqref="P6 P8">
      <formula1>"1Bd,2Bd"</formula1>
    </dataValidation>
  </dataValidations>
  <drawing r:id="rId1"/>
  <tableParts count="1">
    <tablePart r:id="rId3"/>
  </tableParts>
</worksheet>
</file>